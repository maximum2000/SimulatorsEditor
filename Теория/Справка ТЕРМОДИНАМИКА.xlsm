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360" yWindow="15" windowWidth="11340" windowHeight="6540" tabRatio="886"/>
  </bookViews>
  <sheets>
    <sheet name="Теплоемкость газов" sheetId="7" r:id="rId1"/>
    <sheet name="Плотность веществ" sheetId="11" r:id="rId2"/>
    <sheet name="Плотность воды" sheetId="2" r:id="rId3"/>
    <sheet name="Плотность воздуха" sheetId="3" r:id="rId4"/>
    <sheet name="Плотность газов" sheetId="8" r:id="rId5"/>
    <sheet name="Свойства воды" sheetId="5" r:id="rId6"/>
    <sheet name="Насыщ. пар" sheetId="1" r:id="rId7"/>
    <sheet name="Теплоемкость в-в" sheetId="12" r:id="rId8"/>
    <sheet name="Стройматериалы " sheetId="25" r:id="rId9"/>
    <sheet name="Горючие газы" sheetId="9" r:id="rId10"/>
    <sheet name="Топливо" sheetId="16" r:id="rId11"/>
    <sheet name="Вязкость" sheetId="10" r:id="rId12"/>
    <sheet name="Плавление" sheetId="15" r:id="rId13"/>
    <sheet name="Теплоизоляция" sheetId="23" r:id="rId14"/>
    <sheet name="ППУ" sheetId="24" r:id="rId15"/>
    <sheet name="СП23-101-2000" sheetId="22" r:id="rId16"/>
    <sheet name="ТЕПЛОПЕРЕДАЧА 1" sheetId="18" r:id="rId17"/>
    <sheet name="ТЕПЛОПЕРЕДАЧА 2 " sheetId="19" r:id="rId18"/>
    <sheet name="ТЕПЛОПЕРЕДАЧА 3" sheetId="20" r:id="rId19"/>
    <sheet name="ТЕПЛОПОТЕРИ " sheetId="21" r:id="rId20"/>
    <sheet name="Критерии" sheetId="4" r:id="rId21"/>
    <sheet name="нагр возд" sheetId="17" r:id="rId22"/>
    <sheet name="ТЛФ." sheetId="6" state="hidden" r:id="rId23"/>
  </sheets>
  <calcPr calcId="152511"/>
</workbook>
</file>

<file path=xl/calcChain.xml><?xml version="1.0" encoding="utf-8"?>
<calcChain xmlns="http://schemas.openxmlformats.org/spreadsheetml/2006/main">
  <c r="L4" i="9" l="1"/>
  <c r="L8" i="9" s="1"/>
  <c r="O8" i="9" l="1"/>
  <c r="E4" i="25"/>
  <c r="G4" i="25"/>
  <c r="E5" i="25"/>
  <c r="G5" i="25"/>
  <c r="E6" i="25"/>
  <c r="G6" i="25"/>
  <c r="E7" i="25"/>
  <c r="G7" i="25"/>
  <c r="E8" i="25"/>
  <c r="G8" i="25"/>
  <c r="E9" i="25"/>
  <c r="G9" i="25"/>
  <c r="E10" i="25"/>
  <c r="G10" i="25"/>
  <c r="E11" i="25"/>
  <c r="G11" i="25"/>
  <c r="E12" i="25"/>
  <c r="G12" i="25"/>
  <c r="E13" i="25"/>
  <c r="G13" i="25"/>
  <c r="E14" i="25"/>
  <c r="G14" i="25"/>
  <c r="E15" i="25"/>
  <c r="G15" i="25"/>
  <c r="E16" i="25"/>
  <c r="G16" i="25"/>
  <c r="E17" i="25"/>
  <c r="G17" i="25"/>
  <c r="E18" i="25"/>
  <c r="G18" i="25"/>
  <c r="E19" i="25"/>
  <c r="G19" i="25"/>
  <c r="E20" i="25"/>
  <c r="G20" i="25"/>
  <c r="E21" i="25"/>
  <c r="G21" i="25"/>
  <c r="E22" i="25"/>
  <c r="G22" i="25"/>
  <c r="E23" i="25"/>
  <c r="G23" i="25"/>
  <c r="E24" i="25"/>
  <c r="G24" i="25"/>
  <c r="E25" i="25"/>
  <c r="G25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32" i="25"/>
  <c r="G32" i="25"/>
  <c r="E33" i="25"/>
  <c r="G33" i="25"/>
  <c r="E34" i="25"/>
  <c r="G34" i="25"/>
  <c r="E35" i="25"/>
  <c r="G35" i="25"/>
  <c r="E36" i="25"/>
  <c r="G36" i="25"/>
  <c r="E37" i="25"/>
  <c r="G37" i="25"/>
  <c r="E38" i="25"/>
  <c r="G38" i="25"/>
  <c r="E39" i="25"/>
  <c r="G39" i="25"/>
  <c r="E40" i="25"/>
  <c r="G40" i="25"/>
  <c r="E41" i="25"/>
  <c r="G41" i="25"/>
  <c r="E42" i="25"/>
  <c r="G42" i="25"/>
  <c r="E43" i="25"/>
  <c r="G43" i="25"/>
  <c r="E44" i="25"/>
  <c r="G44" i="25"/>
  <c r="E45" i="25"/>
  <c r="G45" i="25"/>
  <c r="E46" i="25"/>
  <c r="G46" i="25"/>
  <c r="E47" i="25"/>
  <c r="G47" i="25"/>
  <c r="E48" i="25"/>
  <c r="G48" i="25"/>
  <c r="E49" i="25"/>
  <c r="G49" i="25"/>
  <c r="E50" i="25"/>
  <c r="G50" i="25"/>
  <c r="E51" i="25"/>
  <c r="G51" i="25"/>
  <c r="E52" i="25"/>
  <c r="G52" i="25"/>
  <c r="E53" i="25"/>
  <c r="G53" i="25"/>
  <c r="E54" i="25"/>
  <c r="G54" i="25"/>
  <c r="E55" i="25"/>
  <c r="G55" i="25"/>
  <c r="E56" i="25"/>
  <c r="G56" i="25"/>
  <c r="E57" i="25"/>
  <c r="G57" i="25"/>
  <c r="E58" i="25"/>
  <c r="G58" i="25"/>
  <c r="E59" i="25"/>
  <c r="G59" i="25"/>
  <c r="E60" i="25"/>
  <c r="G60" i="25"/>
  <c r="E61" i="25"/>
  <c r="G61" i="25"/>
  <c r="E62" i="25"/>
  <c r="G62" i="25"/>
  <c r="E63" i="25"/>
  <c r="G63" i="25"/>
  <c r="E64" i="25"/>
  <c r="G64" i="25"/>
  <c r="E4" i="23"/>
  <c r="G4" i="23"/>
  <c r="E5" i="23"/>
  <c r="G5" i="23"/>
  <c r="E6" i="23"/>
  <c r="G6" i="23"/>
  <c r="E7" i="23"/>
  <c r="G7" i="23"/>
  <c r="E8" i="23"/>
  <c r="G8" i="23"/>
  <c r="E9" i="23"/>
  <c r="G9" i="23"/>
  <c r="E10" i="23"/>
  <c r="G10" i="23"/>
  <c r="E11" i="23"/>
  <c r="G11" i="23"/>
  <c r="E12" i="23"/>
  <c r="G12" i="23"/>
  <c r="E13" i="23"/>
  <c r="G13" i="23"/>
  <c r="E14" i="23"/>
  <c r="G14" i="23"/>
  <c r="E15" i="23"/>
  <c r="G15" i="23"/>
  <c r="E16" i="23"/>
  <c r="G16" i="23"/>
  <c r="E17" i="23"/>
  <c r="G17" i="23"/>
  <c r="E18" i="23"/>
  <c r="G18" i="23"/>
  <c r="E19" i="23"/>
  <c r="G19" i="23"/>
  <c r="E20" i="23"/>
  <c r="G20" i="23"/>
  <c r="E21" i="23"/>
  <c r="G21" i="23"/>
  <c r="E22" i="23"/>
  <c r="G22" i="23"/>
  <c r="E23" i="23"/>
  <c r="G23" i="23"/>
  <c r="E24" i="23"/>
  <c r="G24" i="23"/>
  <c r="E25" i="23"/>
  <c r="G25" i="23"/>
  <c r="E26" i="23"/>
  <c r="G26" i="23"/>
  <c r="E27" i="23"/>
  <c r="G27" i="23"/>
  <c r="E28" i="23"/>
  <c r="G28" i="23"/>
  <c r="E29" i="23"/>
  <c r="G29" i="23"/>
  <c r="E30" i="23"/>
  <c r="G30" i="23"/>
  <c r="E31" i="23"/>
  <c r="G31" i="23"/>
  <c r="E32" i="23"/>
  <c r="G32" i="23"/>
  <c r="E33" i="23"/>
  <c r="G33" i="23"/>
  <c r="E34" i="23"/>
  <c r="G34" i="23"/>
  <c r="E35" i="23"/>
  <c r="G35" i="23"/>
  <c r="F48" i="23"/>
  <c r="G48" i="23"/>
  <c r="H48" i="23"/>
  <c r="I48" i="23"/>
  <c r="J48" i="23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60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9" i="22"/>
  <c r="J100" i="22"/>
  <c r="J101" i="22"/>
  <c r="J102" i="22"/>
  <c r="J103" i="22"/>
  <c r="J104" i="22"/>
  <c r="J105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6" i="22"/>
  <c r="J177" i="22"/>
  <c r="J178" i="22"/>
  <c r="J179" i="22"/>
  <c r="J180" i="22"/>
  <c r="J181" i="22"/>
  <c r="J182" i="22"/>
  <c r="J183" i="22"/>
  <c r="J185" i="22"/>
  <c r="J186" i="22"/>
  <c r="J187" i="22"/>
  <c r="J188" i="22"/>
  <c r="J189" i="22"/>
  <c r="J190" i="22"/>
  <c r="J191" i="22"/>
  <c r="J193" i="22"/>
  <c r="J194" i="22"/>
  <c r="J195" i="22"/>
  <c r="J196" i="22"/>
  <c r="J198" i="22"/>
  <c r="J201" i="22"/>
  <c r="J202" i="22"/>
  <c r="J203" i="22"/>
  <c r="J204" i="22"/>
  <c r="J205" i="22"/>
  <c r="J206" i="22"/>
  <c r="J207" i="22"/>
  <c r="J210" i="22"/>
  <c r="J211" i="22"/>
  <c r="J212" i="22"/>
  <c r="J213" i="22"/>
  <c r="J214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2" i="22"/>
  <c r="J243" i="22"/>
  <c r="J244" i="22"/>
  <c r="J245" i="22"/>
  <c r="J246" i="22"/>
  <c r="F14" i="10"/>
  <c r="F15" i="10"/>
  <c r="F16" i="10"/>
  <c r="F17" i="10"/>
  <c r="F18" i="10"/>
  <c r="F19" i="10"/>
  <c r="F20" i="10"/>
  <c r="F21" i="10"/>
  <c r="F22" i="10"/>
  <c r="F23" i="10"/>
  <c r="F24" i="10"/>
  <c r="F13" i="10"/>
  <c r="E12" i="10"/>
  <c r="E11" i="10"/>
  <c r="E10" i="10"/>
  <c r="E9" i="10"/>
  <c r="E8" i="10"/>
  <c r="E7" i="10"/>
  <c r="E6" i="10"/>
  <c r="E5" i="10"/>
  <c r="D14" i="10"/>
  <c r="D15" i="10"/>
  <c r="D16" i="10"/>
  <c r="D17" i="10"/>
  <c r="D18" i="10"/>
  <c r="D19" i="10"/>
  <c r="D20" i="10"/>
  <c r="D21" i="10"/>
  <c r="D22" i="10"/>
  <c r="D23" i="10"/>
  <c r="D24" i="10"/>
  <c r="D13" i="10"/>
  <c r="D12" i="10"/>
  <c r="F12" i="10" s="1"/>
  <c r="D11" i="10"/>
  <c r="F11" i="10" s="1"/>
  <c r="D10" i="10"/>
  <c r="F10" i="10" s="1"/>
  <c r="D9" i="10"/>
  <c r="F9" i="10" s="1"/>
  <c r="D8" i="10"/>
  <c r="F8" i="10" s="1"/>
  <c r="D7" i="10"/>
  <c r="F7" i="10"/>
  <c r="D6" i="10"/>
  <c r="F6" i="10" s="1"/>
  <c r="D5" i="10"/>
  <c r="F5" i="10" s="1"/>
  <c r="F9" i="4"/>
  <c r="F6" i="4"/>
  <c r="F7" i="4"/>
  <c r="F8" i="4"/>
  <c r="J11" i="4"/>
  <c r="J2" i="4"/>
  <c r="F6" i="17"/>
  <c r="F7" i="17"/>
  <c r="F8" i="17"/>
  <c r="F9" i="17"/>
  <c r="F10" i="17"/>
  <c r="F11" i="17"/>
  <c r="F12" i="17"/>
  <c r="F13" i="17"/>
  <c r="F14" i="17"/>
  <c r="F15" i="17"/>
  <c r="F16" i="17"/>
  <c r="D5" i="17"/>
  <c r="F5" i="17"/>
  <c r="H5" i="17" s="1"/>
  <c r="B7" i="17"/>
  <c r="B8" i="17"/>
  <c r="B9" i="17"/>
  <c r="B10" i="17"/>
  <c r="B11" i="17"/>
  <c r="B12" i="17"/>
  <c r="B13" i="17"/>
  <c r="B14" i="17"/>
  <c r="B15" i="17"/>
  <c r="B16" i="17"/>
  <c r="B6" i="17"/>
  <c r="H6" i="17"/>
  <c r="H7" i="17"/>
  <c r="H8" i="17"/>
  <c r="H9" i="17"/>
  <c r="H10" i="17"/>
  <c r="H11" i="17"/>
  <c r="H12" i="17"/>
  <c r="H13" i="17"/>
  <c r="H14" i="17"/>
  <c r="H15" i="17"/>
  <c r="H16" i="17"/>
  <c r="D6" i="17"/>
  <c r="D7" i="17"/>
  <c r="D8" i="17"/>
  <c r="D9" i="17"/>
  <c r="D10" i="17"/>
  <c r="D11" i="17"/>
  <c r="D12" i="17"/>
  <c r="D13" i="17"/>
  <c r="D14" i="17"/>
  <c r="D15" i="17"/>
  <c r="D16" i="17"/>
  <c r="B5" i="17"/>
  <c r="F7" i="15"/>
  <c r="F8" i="15"/>
  <c r="F9" i="15"/>
  <c r="F10" i="15"/>
  <c r="F11" i="15"/>
  <c r="F4" i="15"/>
  <c r="D11" i="15"/>
  <c r="D10" i="15"/>
  <c r="D9" i="15"/>
  <c r="D8" i="15"/>
  <c r="D6" i="15"/>
  <c r="D5" i="15"/>
  <c r="D4" i="15"/>
  <c r="B5" i="15"/>
  <c r="B6" i="15" s="1"/>
  <c r="B7" i="15" s="1"/>
  <c r="B8" i="15" s="1"/>
  <c r="B9" i="15" s="1"/>
  <c r="B10" i="15" s="1"/>
  <c r="B11" i="15" s="1"/>
  <c r="G11" i="11"/>
  <c r="L4" i="2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I4" i="2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E11" i="2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V17" i="3"/>
  <c r="T5" i="3"/>
  <c r="T6" i="3" s="1"/>
  <c r="T7" i="3" s="1"/>
  <c r="T8" i="3" s="1"/>
  <c r="T9" i="3" s="1"/>
  <c r="T10" i="3" s="1"/>
  <c r="T11" i="3" s="1"/>
  <c r="T12" i="3" s="1"/>
  <c r="T13" i="3" s="1"/>
  <c r="T14" i="3" s="1"/>
  <c r="Q5" i="3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N5" i="3"/>
  <c r="N6" i="3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K5" i="3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H5" i="3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E5" i="3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B5" i="3"/>
  <c r="B6" i="3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D21" i="12"/>
  <c r="D22" i="12"/>
  <c r="D23" i="12"/>
  <c r="D15" i="12"/>
  <c r="D16" i="12"/>
  <c r="D17" i="12"/>
  <c r="D18" i="12"/>
  <c r="D19" i="12"/>
  <c r="D20" i="12"/>
  <c r="D6" i="12"/>
  <c r="D7" i="12"/>
  <c r="D8" i="12"/>
  <c r="D9" i="12"/>
  <c r="D10" i="12"/>
  <c r="D11" i="12"/>
  <c r="D12" i="12"/>
  <c r="D13" i="12"/>
  <c r="D14" i="12"/>
  <c r="D5" i="12"/>
  <c r="N5" i="7"/>
  <c r="N6" i="7"/>
  <c r="N7" i="7"/>
  <c r="N8" i="7"/>
  <c r="N9" i="7"/>
  <c r="N10" i="7"/>
  <c r="N11" i="7"/>
  <c r="N12" i="7"/>
  <c r="N13" i="7"/>
  <c r="N14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4" i="7"/>
  <c r="G33" i="7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6" i="7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E18" i="18"/>
  <c r="E11" i="18"/>
  <c r="E14" i="18"/>
  <c r="G8" i="18" s="1"/>
  <c r="F6" i="19"/>
  <c r="H6" i="19" s="1"/>
  <c r="H14" i="19" s="1"/>
  <c r="H7" i="19"/>
  <c r="H8" i="19"/>
  <c r="H9" i="19"/>
  <c r="H10" i="19"/>
  <c r="H11" i="19"/>
  <c r="H12" i="19"/>
  <c r="C31" i="19"/>
  <c r="F8" i="19"/>
  <c r="F9" i="19"/>
  <c r="F10" i="19"/>
  <c r="F11" i="19"/>
  <c r="F12" i="19"/>
  <c r="F7" i="19"/>
  <c r="H9" i="20"/>
  <c r="H7" i="20"/>
  <c r="C10" i="21"/>
  <c r="E10" i="21"/>
  <c r="K20" i="16"/>
  <c r="K19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4" i="16"/>
  <c r="H5" i="16"/>
  <c r="H6" i="16" s="1"/>
  <c r="H7" i="16" s="1"/>
  <c r="H8" i="16" s="1"/>
  <c r="H9" i="16" s="1"/>
  <c r="H10" i="16" s="1"/>
  <c r="H11" i="16" s="1"/>
  <c r="H12" i="16" s="1"/>
  <c r="H13" i="16" s="1"/>
  <c r="H14" i="16" s="1"/>
  <c r="H15" i="16" s="1"/>
  <c r="H16" i="16" s="1"/>
  <c r="H17" i="16" s="1"/>
  <c r="H18" i="16" s="1"/>
  <c r="J11" i="16"/>
  <c r="J10" i="16"/>
  <c r="J9" i="16"/>
  <c r="J8" i="16"/>
  <c r="J6" i="16"/>
  <c r="J5" i="16"/>
  <c r="J4" i="16"/>
  <c r="D11" i="16"/>
  <c r="D10" i="16"/>
  <c r="D9" i="16"/>
  <c r="D8" i="16"/>
  <c r="D6" i="16"/>
  <c r="D5" i="16"/>
  <c r="D4" i="16"/>
  <c r="B5" i="16"/>
  <c r="B6" i="16" s="1"/>
  <c r="B7" i="16" s="1"/>
  <c r="B8" i="16" s="1"/>
  <c r="B9" i="16" s="1"/>
  <c r="B10" i="16" s="1"/>
  <c r="J6" i="4" l="1"/>
  <c r="C11" i="21"/>
  <c r="E17" i="20"/>
  <c r="F23" i="20" s="1"/>
  <c r="H34" i="20" s="1"/>
  <c r="J8" i="18"/>
  <c r="E11" i="21"/>
  <c r="C34" i="19"/>
  <c r="F36" i="19"/>
  <c r="F63" i="20" l="1"/>
  <c r="F65" i="20" s="1"/>
  <c r="I47" i="20"/>
  <c r="D50" i="20" s="1"/>
  <c r="B34" i="20"/>
  <c r="G50" i="20" l="1"/>
  <c r="F70" i="20"/>
  <c r="G11" i="21" l="1"/>
  <c r="I10" i="21" s="1"/>
  <c r="I13" i="21" s="1"/>
  <c r="B25" i="20"/>
  <c r="F73" i="20"/>
</calcChain>
</file>

<file path=xl/comments1.xml><?xml version="1.0" encoding="utf-8"?>
<comments xmlns="http://schemas.openxmlformats.org/spreadsheetml/2006/main">
  <authors>
    <author>User</author>
  </authors>
  <commentList>
    <comment ref="V16" authorId="0" shapeId="0">
      <text>
        <r>
          <rPr>
            <sz val="8"/>
            <color indexed="81"/>
            <rFont val="Tahoma"/>
            <family val="2"/>
            <charset val="204"/>
          </rPr>
          <t xml:space="preserve">Сообщите
температуру!
</t>
        </r>
      </text>
    </comment>
  </commentList>
</comments>
</file>

<file path=xl/comments2.xml><?xml version="1.0" encoding="utf-8"?>
<comments xmlns="http://schemas.openxmlformats.org/spreadsheetml/2006/main">
  <authors>
    <author xml:space="preserve">Симоненко </author>
  </authors>
  <commentList>
    <comment ref="J11" authorId="0" shapeId="0">
      <text>
        <r>
          <rPr>
            <b/>
            <sz val="8"/>
            <color indexed="81"/>
            <rFont val="Tahoma"/>
            <family val="2"/>
            <charset val="204"/>
          </rPr>
          <t>Заполнить для движения воды</t>
        </r>
        <r>
          <rPr>
            <b/>
            <sz val="8"/>
            <color indexed="10"/>
            <rFont val="Tahoma"/>
            <family val="2"/>
          </rPr>
          <t xml:space="preserve">                             
В ТРУБЕ</t>
        </r>
      </text>
    </comment>
    <comment ref="J13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Заполнить </t>
        </r>
        <r>
          <rPr>
            <b/>
            <sz val="8"/>
            <color indexed="10"/>
            <rFont val="Tahoma"/>
            <family val="2"/>
          </rPr>
          <t xml:space="preserve">
ПРИ ОМЫВАНИИ ТРУБ СНАРУЖИ</t>
        </r>
      </text>
    </comment>
    <comment ref="J14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Заполнить </t>
        </r>
        <r>
          <rPr>
            <b/>
            <sz val="8"/>
            <color indexed="10"/>
            <rFont val="Tahoma"/>
            <family val="2"/>
          </rPr>
          <t xml:space="preserve">
ПРИ ОМЫВАНИИ ТРУБ СНАРУЖИ</t>
        </r>
      </text>
    </comment>
    <comment ref="J15" authorId="0" shapeId="0">
      <text>
        <r>
          <rPr>
            <b/>
            <sz val="8"/>
            <color indexed="81"/>
            <rFont val="Tahoma"/>
            <family val="2"/>
            <charset val="204"/>
          </rPr>
          <t xml:space="preserve">Заполнить </t>
        </r>
        <r>
          <rPr>
            <b/>
            <sz val="8"/>
            <color indexed="10"/>
            <rFont val="Tahoma"/>
            <family val="2"/>
          </rPr>
          <t xml:space="preserve">
ПРИ ОМЫВАНИИ ТРУБ СНАРУЖИ</t>
        </r>
      </text>
    </comment>
    <comment ref="J17" authorId="0" shapeId="0">
      <text>
        <r>
          <rPr>
            <b/>
            <sz val="8"/>
            <color indexed="81"/>
            <rFont val="Tahoma"/>
            <family val="2"/>
            <charset val="204"/>
          </rPr>
          <t>Заполнить !</t>
        </r>
      </text>
    </comment>
    <comment ref="J18" authorId="0" shapeId="0">
      <text>
        <r>
          <rPr>
            <b/>
            <sz val="8"/>
            <color indexed="81"/>
            <rFont val="Tahoma"/>
            <family val="2"/>
            <charset val="204"/>
          </rPr>
          <t>Заполнить !</t>
        </r>
      </text>
    </comment>
  </commentList>
</comments>
</file>

<file path=xl/comments3.xml><?xml version="1.0" encoding="utf-8"?>
<comments xmlns="http://schemas.openxmlformats.org/spreadsheetml/2006/main">
  <authors>
    <author xml:space="preserve">Симоненко </author>
  </authors>
  <commentList>
    <comment ref="E6" authorId="0" shapeId="0">
      <text>
        <r>
          <rPr>
            <sz val="8"/>
            <color indexed="81"/>
            <rFont val="Tahoma"/>
            <family val="2"/>
            <charset val="204"/>
          </rPr>
          <t xml:space="preserve">СООБЩИТЬ!
</t>
        </r>
      </text>
    </comment>
    <comment ref="E14" authorId="0" shapeId="0">
      <text>
        <r>
          <rPr>
            <sz val="8"/>
            <color indexed="81"/>
            <rFont val="Tahoma"/>
            <family val="2"/>
            <charset val="204"/>
          </rPr>
          <t xml:space="preserve">СООБЩИТЬ!
</t>
        </r>
      </text>
    </comment>
  </commentList>
</comments>
</file>

<file path=xl/comments4.xml><?xml version="1.0" encoding="utf-8"?>
<comments xmlns="http://schemas.openxmlformats.org/spreadsheetml/2006/main">
  <authors>
    <author xml:space="preserve">Симоненко </author>
  </authors>
  <commentList>
    <comment ref="H7" authorId="0" shapeId="0">
      <text>
        <r>
          <rPr>
            <b/>
            <sz val="8"/>
            <color indexed="81"/>
            <rFont val="Tahoma"/>
            <family val="2"/>
            <charset val="204"/>
          </rPr>
          <t>Переписывается автоматически  с листа ТЕПЛОПЕРЕДАЧА 1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  <charset val="204"/>
          </rPr>
          <t>СООБЩИТЬ!</t>
        </r>
      </text>
    </comment>
    <comment ref="H9" authorId="0" shapeId="0">
      <text>
        <r>
          <rPr>
            <sz val="8"/>
            <color indexed="81"/>
            <rFont val="Tahoma"/>
            <family val="2"/>
            <charset val="204"/>
          </rPr>
          <t xml:space="preserve">Расчитывается автоматически по данным листа
ТЕПЛОПЕРЕДАЧА 2
</t>
        </r>
      </text>
    </comment>
    <comment ref="H10" authorId="0" shapeId="0">
      <text>
        <r>
          <rPr>
            <b/>
            <sz val="8"/>
            <color indexed="81"/>
            <rFont val="Tahoma"/>
            <family val="2"/>
            <charset val="204"/>
          </rPr>
          <t>СООБЩИТЬ!</t>
        </r>
      </text>
    </comment>
    <comment ref="H21" authorId="0" shapeId="0">
      <text>
        <r>
          <rPr>
            <b/>
            <sz val="8"/>
            <color indexed="81"/>
            <rFont val="Tahoma"/>
            <family val="2"/>
            <charset val="204"/>
          </rPr>
          <t>ПОСЛЕ РАСЧЕТА ПОПРАВИТЬ НА БЛИЗКУЮ РАСЧЕТНОЙ  (см. ячейку F70)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 xml:space="preserve">Симоненко </author>
  </authors>
  <commentList>
    <comment ref="B6" authorId="0" shapeId="0">
      <text>
        <r>
          <rPr>
            <sz val="8"/>
            <color indexed="81"/>
            <rFont val="Tahoma"/>
            <family val="2"/>
            <charset val="204"/>
          </rPr>
          <t xml:space="preserve">Данный расчет выполняется автоматически по исходным данным, приведенным Вами в листах ТЕПЛОПЕРЕДАЧА 1, ТЕПЛОПЕРЕДАЧА 2, ТЕПЛОПЕРЕДАЧА 3
</t>
        </r>
      </text>
    </comment>
  </commentList>
</comments>
</file>

<file path=xl/comments6.xml><?xml version="1.0" encoding="utf-8"?>
<comments xmlns="http://schemas.openxmlformats.org/spreadsheetml/2006/main">
  <authors>
    <author>User</author>
  </authors>
  <commentList>
    <comment ref="F2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3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4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6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7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8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9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11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12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  <comment ref="F13" authorId="0" shapeId="0">
      <text>
        <r>
          <rPr>
            <sz val="8"/>
            <color indexed="81"/>
            <rFont val="Tahoma"/>
            <family val="2"/>
            <charset val="204"/>
          </rPr>
          <t xml:space="preserve">Можно сообщить!
</t>
        </r>
      </text>
    </comment>
  </commentList>
</comments>
</file>

<file path=xl/sharedStrings.xml><?xml version="1.0" encoding="utf-8"?>
<sst xmlns="http://schemas.openxmlformats.org/spreadsheetml/2006/main" count="1198" uniqueCount="698">
  <si>
    <t>кгс/см2</t>
  </si>
  <si>
    <t>МПа</t>
  </si>
  <si>
    <t>Давление (абс)</t>
  </si>
  <si>
    <t>Тнас.</t>
  </si>
  <si>
    <t>°С</t>
  </si>
  <si>
    <t>Плотность</t>
  </si>
  <si>
    <t>кг/м3</t>
  </si>
  <si>
    <t>I</t>
  </si>
  <si>
    <t>ккал/кг</t>
  </si>
  <si>
    <t>0.098</t>
  </si>
  <si>
    <t>T °C</t>
  </si>
  <si>
    <t>Т</t>
  </si>
  <si>
    <t>ρ</t>
  </si>
  <si>
    <t>Т °С</t>
  </si>
  <si>
    <r>
      <t>ρ</t>
    </r>
    <r>
      <rPr>
        <b/>
        <sz val="10"/>
        <rFont val="Arial Cyr"/>
        <family val="2"/>
        <charset val="204"/>
      </rPr>
      <t xml:space="preserve"> (кг/м3)</t>
    </r>
  </si>
  <si>
    <t>масса 1м3 воздуха при</t>
  </si>
  <si>
    <t>760 мм рт. Столба</t>
  </si>
  <si>
    <t>или 0,1 МПа</t>
  </si>
  <si>
    <t>Reinolds</t>
  </si>
  <si>
    <t>Re=</t>
  </si>
  <si>
    <t>Re=v*l/ν</t>
  </si>
  <si>
    <t>Кинематическая вязкость</t>
  </si>
  <si>
    <t>м²/с</t>
  </si>
  <si>
    <t xml:space="preserve">м </t>
  </si>
  <si>
    <t>м/с</t>
  </si>
  <si>
    <t xml:space="preserve">Скорость  </t>
  </si>
  <si>
    <t xml:space="preserve">Характерный размер </t>
  </si>
  <si>
    <t>Prandtl</t>
  </si>
  <si>
    <r>
      <t>Pr=ν*c</t>
    </r>
    <r>
      <rPr>
        <b/>
        <sz val="8"/>
        <rFont val="Arial Cyr"/>
        <family val="2"/>
        <charset val="204"/>
      </rPr>
      <t>p</t>
    </r>
    <r>
      <rPr>
        <b/>
        <sz val="12"/>
        <rFont val="Arial Cyr"/>
        <family val="2"/>
        <charset val="204"/>
      </rPr>
      <t>*ρ/λ</t>
    </r>
  </si>
  <si>
    <t>Удельная теплоемкость</t>
  </si>
  <si>
    <t>ккал/(кг*К)</t>
  </si>
  <si>
    <t>Pr=</t>
  </si>
  <si>
    <t>Теплопроводность</t>
  </si>
  <si>
    <t>ккал/(м²*с*К)</t>
  </si>
  <si>
    <t>кг/м³</t>
  </si>
  <si>
    <t>Nusselt</t>
  </si>
  <si>
    <t>Nu=α*l/λ</t>
  </si>
  <si>
    <t>Коэф. Теплопередачи</t>
  </si>
  <si>
    <t>ккал/(м*с*К)</t>
  </si>
  <si>
    <t>Nu=</t>
  </si>
  <si>
    <t>Р</t>
  </si>
  <si>
    <t>кгс/см²</t>
  </si>
  <si>
    <t>γ</t>
  </si>
  <si>
    <t>Ср</t>
  </si>
  <si>
    <t>ккал/кг°С</t>
  </si>
  <si>
    <t>λ</t>
  </si>
  <si>
    <t>ккал/м*ч*°С</t>
  </si>
  <si>
    <t>м²/час</t>
  </si>
  <si>
    <t>кг*с/м²</t>
  </si>
  <si>
    <t>Pr</t>
  </si>
  <si>
    <r>
      <t>Динамическая вязкость "</t>
    </r>
    <r>
      <rPr>
        <b/>
        <sz val="12"/>
        <rFont val="Arial Cyr"/>
        <family val="2"/>
        <charset val="204"/>
      </rPr>
      <t>μ</t>
    </r>
    <r>
      <rPr>
        <sz val="10"/>
        <rFont val="Arial Cyr"/>
        <charset val="204"/>
      </rPr>
      <t>"</t>
    </r>
  </si>
  <si>
    <t>или</t>
  </si>
  <si>
    <t>Pr=ν/a</t>
  </si>
  <si>
    <t>ккал/(м*ч*К)</t>
  </si>
  <si>
    <t xml:space="preserve">норм. aтмосф.давлении </t>
  </si>
  <si>
    <t>Симоненко</t>
  </si>
  <si>
    <t>Константин</t>
  </si>
  <si>
    <t>Игоревич</t>
  </si>
  <si>
    <t>(084-2-) 58-85-51</t>
  </si>
  <si>
    <r>
      <t xml:space="preserve">Автор  </t>
    </r>
    <r>
      <rPr>
        <i/>
        <sz val="14"/>
        <color indexed="10"/>
        <rFont val="Arial Cyr"/>
        <family val="2"/>
        <charset val="204"/>
      </rPr>
      <t xml:space="preserve">Excel </t>
    </r>
    <r>
      <rPr>
        <i/>
        <sz val="14"/>
        <rFont val="Arial Cyr"/>
        <family val="2"/>
        <charset val="204"/>
      </rPr>
      <t>- версии  расчета</t>
    </r>
  </si>
  <si>
    <t>газ</t>
  </si>
  <si>
    <t>Сv</t>
  </si>
  <si>
    <t>Азот</t>
  </si>
  <si>
    <t>Аммиак</t>
  </si>
  <si>
    <t>Аргон</t>
  </si>
  <si>
    <t>Ацетилен</t>
  </si>
  <si>
    <t>Водород</t>
  </si>
  <si>
    <t>Воздух</t>
  </si>
  <si>
    <t>Гелий</t>
  </si>
  <si>
    <t>Кислород</t>
  </si>
  <si>
    <t>Метан</t>
  </si>
  <si>
    <r>
      <t>СО</t>
    </r>
    <r>
      <rPr>
        <sz val="8"/>
        <rFont val="Arial Cyr"/>
        <family val="2"/>
        <charset val="204"/>
      </rPr>
      <t>2</t>
    </r>
  </si>
  <si>
    <t>T</t>
  </si>
  <si>
    <r>
      <t>СО</t>
    </r>
    <r>
      <rPr>
        <b/>
        <sz val="8"/>
        <rFont val="Arial Cyr"/>
        <family val="2"/>
        <charset val="204"/>
      </rPr>
      <t>2</t>
    </r>
  </si>
  <si>
    <r>
      <t>Н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0</t>
    </r>
  </si>
  <si>
    <r>
      <t>N</t>
    </r>
    <r>
      <rPr>
        <b/>
        <sz val="8"/>
        <rFont val="Arial Cyr"/>
        <family val="2"/>
        <charset val="204"/>
      </rPr>
      <t>2</t>
    </r>
  </si>
  <si>
    <r>
      <t>О</t>
    </r>
    <r>
      <rPr>
        <b/>
        <sz val="8"/>
        <rFont val="Arial Cyr"/>
        <family val="2"/>
        <charset val="204"/>
      </rPr>
      <t>2</t>
    </r>
  </si>
  <si>
    <r>
      <t>Н</t>
    </r>
    <r>
      <rPr>
        <b/>
        <sz val="8"/>
        <rFont val="Arial Cyr"/>
        <family val="2"/>
        <charset val="204"/>
      </rPr>
      <t>2</t>
    </r>
  </si>
  <si>
    <r>
      <t>СН</t>
    </r>
    <r>
      <rPr>
        <b/>
        <sz val="8"/>
        <rFont val="Arial Cyr"/>
        <family val="2"/>
        <charset val="204"/>
      </rPr>
      <t>4</t>
    </r>
  </si>
  <si>
    <r>
      <t>С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Н</t>
    </r>
    <r>
      <rPr>
        <b/>
        <sz val="8"/>
        <rFont val="Arial Cyr"/>
        <family val="2"/>
        <charset val="204"/>
      </rPr>
      <t>6</t>
    </r>
  </si>
  <si>
    <t>ккал          нм³*°С</t>
  </si>
  <si>
    <t>Размерность</t>
  </si>
  <si>
    <t>Параметры</t>
  </si>
  <si>
    <t>Газовая постоянная</t>
  </si>
  <si>
    <r>
      <t>NН</t>
    </r>
    <r>
      <rPr>
        <b/>
        <sz val="8"/>
        <rFont val="Arial Cyr"/>
        <family val="2"/>
        <charset val="204"/>
      </rPr>
      <t>4</t>
    </r>
  </si>
  <si>
    <r>
      <t>С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Н</t>
    </r>
    <r>
      <rPr>
        <b/>
        <sz val="8"/>
        <rFont val="Arial Cyr"/>
        <family val="2"/>
        <charset val="204"/>
      </rPr>
      <t>2</t>
    </r>
  </si>
  <si>
    <t>кГ*м/(кг*°С)</t>
  </si>
  <si>
    <t>ккал          кг * °С</t>
  </si>
  <si>
    <t>Газ</t>
  </si>
  <si>
    <t>Qр(низшая)</t>
  </si>
  <si>
    <t>ккал/нм3</t>
  </si>
  <si>
    <t>Расход</t>
  </si>
  <si>
    <t>воздуха</t>
  </si>
  <si>
    <t>Продукты сгорания</t>
  </si>
  <si>
    <t>всего</t>
  </si>
  <si>
    <t>нм3/нм3</t>
  </si>
  <si>
    <t>Окись углерода</t>
  </si>
  <si>
    <t>СО</t>
  </si>
  <si>
    <t>Этилен</t>
  </si>
  <si>
    <t>Этан</t>
  </si>
  <si>
    <r>
      <t>С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Н</t>
    </r>
    <r>
      <rPr>
        <b/>
        <sz val="8"/>
        <rFont val="Arial Cyr"/>
        <family val="2"/>
        <charset val="204"/>
      </rPr>
      <t>4</t>
    </r>
  </si>
  <si>
    <r>
      <t>С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Н</t>
    </r>
    <r>
      <rPr>
        <b/>
        <sz val="8"/>
        <rFont val="Arial Cyr"/>
        <family val="2"/>
        <charset val="204"/>
      </rPr>
      <t>6</t>
    </r>
    <r>
      <rPr>
        <sz val="10"/>
        <rFont val="Arial Cyr"/>
        <charset val="204"/>
      </rPr>
      <t/>
    </r>
  </si>
  <si>
    <t>Пропан</t>
  </si>
  <si>
    <r>
      <t>С</t>
    </r>
    <r>
      <rPr>
        <b/>
        <sz val="8"/>
        <rFont val="Arial Cyr"/>
        <family val="2"/>
        <charset val="204"/>
      </rPr>
      <t>3</t>
    </r>
    <r>
      <rPr>
        <b/>
        <sz val="10"/>
        <rFont val="Arial Cyr"/>
        <family val="2"/>
        <charset val="204"/>
      </rPr>
      <t>Н</t>
    </r>
    <r>
      <rPr>
        <b/>
        <sz val="8"/>
        <rFont val="Arial Cyr"/>
        <family val="2"/>
        <charset val="204"/>
      </rPr>
      <t>8</t>
    </r>
  </si>
  <si>
    <t>Сероводород</t>
  </si>
  <si>
    <r>
      <t>Н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S</t>
    </r>
  </si>
  <si>
    <r>
      <t>Н</t>
    </r>
    <r>
      <rPr>
        <b/>
        <sz val="8"/>
        <rFont val="Arial Cyr"/>
        <family val="2"/>
        <charset val="204"/>
      </rPr>
      <t>2</t>
    </r>
    <r>
      <rPr>
        <b/>
        <sz val="10"/>
        <rFont val="Arial Cyr"/>
        <family val="2"/>
        <charset val="204"/>
      </rPr>
      <t>О</t>
    </r>
  </si>
  <si>
    <r>
      <t>1(SO</t>
    </r>
    <r>
      <rPr>
        <sz val="8"/>
        <rFont val="Arial Cyr"/>
        <family val="2"/>
        <charset val="204"/>
      </rPr>
      <t>2</t>
    </r>
    <r>
      <rPr>
        <sz val="10"/>
        <rFont val="Arial Cyr"/>
        <family val="2"/>
        <charset val="204"/>
      </rPr>
      <t>)</t>
    </r>
  </si>
  <si>
    <t>Вещество</t>
  </si>
  <si>
    <t>Вязкость</t>
  </si>
  <si>
    <t>Вода</t>
  </si>
  <si>
    <t>Бензин</t>
  </si>
  <si>
    <t>Этиловый спирт</t>
  </si>
  <si>
    <t>Керосин</t>
  </si>
  <si>
    <t>Масло трансформаторное</t>
  </si>
  <si>
    <t xml:space="preserve">Масло турбинное </t>
  </si>
  <si>
    <t xml:space="preserve">  "μ"  (пз)</t>
  </si>
  <si>
    <t xml:space="preserve"> "ν" (cт)</t>
  </si>
  <si>
    <t>при 0°С</t>
  </si>
  <si>
    <t>при 10°С</t>
  </si>
  <si>
    <t>при 20°С</t>
  </si>
  <si>
    <t>при 30°С</t>
  </si>
  <si>
    <t>при 40°С</t>
  </si>
  <si>
    <t>при 50°С</t>
  </si>
  <si>
    <t>при 15°С</t>
  </si>
  <si>
    <t>Масло машинное С</t>
  </si>
  <si>
    <t>Масло веретенное АУ</t>
  </si>
  <si>
    <t xml:space="preserve"> "ν" (м2/с)</t>
  </si>
  <si>
    <t>г/(см*с)</t>
  </si>
  <si>
    <t>см2/с</t>
  </si>
  <si>
    <t xml:space="preserve">  "μ" </t>
  </si>
  <si>
    <t>Па/с</t>
  </si>
  <si>
    <t>м2/с</t>
  </si>
  <si>
    <t>при Т</t>
  </si>
  <si>
    <t>Алюминий</t>
  </si>
  <si>
    <t>Медь</t>
  </si>
  <si>
    <t>Никель</t>
  </si>
  <si>
    <t>Свинец</t>
  </si>
  <si>
    <t>Серебро</t>
  </si>
  <si>
    <t>Железо</t>
  </si>
  <si>
    <t>Золото</t>
  </si>
  <si>
    <t>Ртуть</t>
  </si>
  <si>
    <t>Платина</t>
  </si>
  <si>
    <t>Титан</t>
  </si>
  <si>
    <t>Вода морская</t>
  </si>
  <si>
    <t>1020-1030</t>
  </si>
  <si>
    <t>Ацетон</t>
  </si>
  <si>
    <t>Глицерин</t>
  </si>
  <si>
    <t>Диз.топливо</t>
  </si>
  <si>
    <t>Масло машинное</t>
  </si>
  <si>
    <t>Спирт этиловый</t>
  </si>
  <si>
    <t>Спирт метиловый</t>
  </si>
  <si>
    <t>Лед</t>
  </si>
  <si>
    <t>Наименование</t>
  </si>
  <si>
    <t>Теплоемкость</t>
  </si>
  <si>
    <t>Дж/кг*К</t>
  </si>
  <si>
    <t>ккал/кг*К</t>
  </si>
  <si>
    <t xml:space="preserve">Латунь </t>
  </si>
  <si>
    <t>Олово</t>
  </si>
  <si>
    <t>Спирт</t>
  </si>
  <si>
    <t>Сталь</t>
  </si>
  <si>
    <t>С</t>
  </si>
  <si>
    <t>кДж/кг*К</t>
  </si>
  <si>
    <t>Вт/м*К</t>
  </si>
  <si>
    <t>ккал/м*К</t>
  </si>
  <si>
    <t>Железобетон</t>
  </si>
  <si>
    <t>Бетон на гравии</t>
  </si>
  <si>
    <t>Туфобетон</t>
  </si>
  <si>
    <t>Пемзобетон</t>
  </si>
  <si>
    <t>Керамзитобетон</t>
  </si>
  <si>
    <t>Перлитобетон</t>
  </si>
  <si>
    <t>Шлакопемзобетон</t>
  </si>
  <si>
    <t>Шлакобетон</t>
  </si>
  <si>
    <t>Вермикулитобетон</t>
  </si>
  <si>
    <t>Газо-и пенобетон</t>
  </si>
  <si>
    <t>Цементопесчаный р-р</t>
  </si>
  <si>
    <t>Песок-известь-цемент</t>
  </si>
  <si>
    <t>Известково-песчаный</t>
  </si>
  <si>
    <t>Цементо-шлаковый</t>
  </si>
  <si>
    <t>Цементно-перлитовый</t>
  </si>
  <si>
    <t>Гипсо-перлитовый</t>
  </si>
  <si>
    <t>Тоже поризованный</t>
  </si>
  <si>
    <t>Плиты из гипса</t>
  </si>
  <si>
    <t>Сухая щтукатурка</t>
  </si>
  <si>
    <t>Сплошной кирпич</t>
  </si>
  <si>
    <t>Силикатный кирпич</t>
  </si>
  <si>
    <t>Керамич.полупустотный</t>
  </si>
  <si>
    <t>Керамический пустотный</t>
  </si>
  <si>
    <t>Мрамор</t>
  </si>
  <si>
    <t>Известняк</t>
  </si>
  <si>
    <t xml:space="preserve">Туф </t>
  </si>
  <si>
    <t>Сосна, есль поперек в</t>
  </si>
  <si>
    <t>Сосна, есль вдоль вол-н</t>
  </si>
  <si>
    <t>Дуб поперек волокон</t>
  </si>
  <si>
    <t>Дуб вдоль волокон</t>
  </si>
  <si>
    <t>Фанера</t>
  </si>
  <si>
    <t>Картон многослойный</t>
  </si>
  <si>
    <t>ДВС и ДВП</t>
  </si>
  <si>
    <t>Плиты фибролитовые</t>
  </si>
  <si>
    <t>Минераловатные маты</t>
  </si>
  <si>
    <t>Плиты минералованые</t>
  </si>
  <si>
    <t>Стекловатные плиты</t>
  </si>
  <si>
    <t>Пенополистирол</t>
  </si>
  <si>
    <t>Пенопласт</t>
  </si>
  <si>
    <t>100 и менее</t>
  </si>
  <si>
    <t>Перлитопластбетон</t>
  </si>
  <si>
    <t>Гравий керамзитовый</t>
  </si>
  <si>
    <t>Щебень из шлака</t>
  </si>
  <si>
    <t>Песок для стр. работ</t>
  </si>
  <si>
    <t>Асбоцементные плиты</t>
  </si>
  <si>
    <t>Битум</t>
  </si>
  <si>
    <t>Асфальтобетон</t>
  </si>
  <si>
    <t>Рубиройд</t>
  </si>
  <si>
    <t>Линолиум</t>
  </si>
  <si>
    <t>Стекло оконное</t>
  </si>
  <si>
    <t>ккал/ч*м*К</t>
  </si>
  <si>
    <t>№</t>
  </si>
  <si>
    <t>Температура плавления</t>
  </si>
  <si>
    <t>Удельная теплота плавления</t>
  </si>
  <si>
    <t>Латунь</t>
  </si>
  <si>
    <t>кДж/кг</t>
  </si>
  <si>
    <t>Бетон</t>
  </si>
  <si>
    <t>Резина</t>
  </si>
  <si>
    <t>Стекло</t>
  </si>
  <si>
    <t>Чугун</t>
  </si>
  <si>
    <t>Сосна</t>
  </si>
  <si>
    <t>Дуб</t>
  </si>
  <si>
    <t>Песок</t>
  </si>
  <si>
    <t>Каменный уголь</t>
  </si>
  <si>
    <t>Глина</t>
  </si>
  <si>
    <t>высшая</t>
  </si>
  <si>
    <t>низшая</t>
  </si>
  <si>
    <t>Топливо</t>
  </si>
  <si>
    <t xml:space="preserve">Бензин </t>
  </si>
  <si>
    <t>Мазут</t>
  </si>
  <si>
    <t>Дрова</t>
  </si>
  <si>
    <t>Торф кусковой</t>
  </si>
  <si>
    <t>Торф фрезерный</t>
  </si>
  <si>
    <t>Бурый уголь</t>
  </si>
  <si>
    <t xml:space="preserve">   челябенский</t>
  </si>
  <si>
    <t>подмосковный</t>
  </si>
  <si>
    <t>александровский</t>
  </si>
  <si>
    <t xml:space="preserve"> </t>
  </si>
  <si>
    <t>длиннопламенный</t>
  </si>
  <si>
    <t>тощий</t>
  </si>
  <si>
    <t>Антрацит</t>
  </si>
  <si>
    <t>Углерод</t>
  </si>
  <si>
    <t>Теплота сгорания     (на рабочую массу)  ккал/кг</t>
  </si>
  <si>
    <t>Qp низшая</t>
  </si>
  <si>
    <t>МДж/кг</t>
  </si>
  <si>
    <t>Месторождение газа</t>
  </si>
  <si>
    <t>Ставропольское</t>
  </si>
  <si>
    <t>Волгоградское</t>
  </si>
  <si>
    <t>Елшанское</t>
  </si>
  <si>
    <t>Степановское</t>
  </si>
  <si>
    <t>Бугуруслановское</t>
  </si>
  <si>
    <t>Дашавское</t>
  </si>
  <si>
    <t>Шебеленское</t>
  </si>
  <si>
    <t>Березанское</t>
  </si>
  <si>
    <t>Куйбышевская обл.</t>
  </si>
  <si>
    <t>Орендургская обл.</t>
  </si>
  <si>
    <t>Джебольское</t>
  </si>
  <si>
    <t>Березовское</t>
  </si>
  <si>
    <t>Деменскоеэ</t>
  </si>
  <si>
    <t>Усть-Волынское</t>
  </si>
  <si>
    <t>№ п/п</t>
  </si>
  <si>
    <t>Мощность на нагрев</t>
  </si>
  <si>
    <t>кВт</t>
  </si>
  <si>
    <t>ккал/час</t>
  </si>
  <si>
    <t>Δt</t>
  </si>
  <si>
    <t>°C</t>
  </si>
  <si>
    <t>t1</t>
  </si>
  <si>
    <t>t2</t>
  </si>
  <si>
    <t>Gвозд.</t>
  </si>
  <si>
    <t>м3/час</t>
  </si>
  <si>
    <t>Генераторный газ</t>
  </si>
  <si>
    <t>Доменный газ</t>
  </si>
  <si>
    <t>Торфяные брикеты</t>
  </si>
  <si>
    <t>a=</t>
  </si>
  <si>
    <t>(1630+21t-0,041t²)</t>
  </si>
  <si>
    <t>W</t>
  </si>
  <si>
    <t>d</t>
  </si>
  <si>
    <t>=</t>
  </si>
  <si>
    <t xml:space="preserve">Расход воды </t>
  </si>
  <si>
    <t>м³/час</t>
  </si>
  <si>
    <t>Средняя температуры воды</t>
  </si>
  <si>
    <t>Внутренний диаметр трубы</t>
  </si>
  <si>
    <t>мм</t>
  </si>
  <si>
    <t xml:space="preserve">Внешний диаметр трубы </t>
  </si>
  <si>
    <t>Внутренний диаметр корпуса</t>
  </si>
  <si>
    <t>Число труб в корпусе</t>
  </si>
  <si>
    <t>шт</t>
  </si>
  <si>
    <t>где :</t>
  </si>
  <si>
    <t>W - скорость воды в трубе</t>
  </si>
  <si>
    <t>(межтрубном пространстве)</t>
  </si>
  <si>
    <t xml:space="preserve">d - внутренний диаметр </t>
  </si>
  <si>
    <t>трубы (эквивалентный</t>
  </si>
  <si>
    <t>диаметр м/т пространства)</t>
  </si>
  <si>
    <t>м2</t>
  </si>
  <si>
    <t>Площадь межтрубного</t>
  </si>
  <si>
    <t>пространства</t>
  </si>
  <si>
    <t>Вт</t>
  </si>
  <si>
    <t>м²*К</t>
  </si>
  <si>
    <t>Примечание:</t>
  </si>
  <si>
    <t>Справочное пособие"   ЭНЕРГОАТОМИЗДАТ -88г.</t>
  </si>
  <si>
    <t>Расчет выполнен по методике, изложенной в п.25.2 "Водяные тепловые сети</t>
  </si>
  <si>
    <t>ккал</t>
  </si>
  <si>
    <t>час*м²*К</t>
  </si>
  <si>
    <t xml:space="preserve">Коэфициент теплопередачи от воды к стенке трубы: </t>
  </si>
  <si>
    <t xml:space="preserve">                   Расчет теплопередачи от воды к стенке трубы</t>
  </si>
  <si>
    <t>ДАННЫЕ ДЛЯ РАСЧЕТА ТЕПЛОПЕРЕДАЧИ ЧЕРЕЗ МНОГОСЛОЙНУЮ ТЕПЛОИЗОЛЯЦИЮ</t>
  </si>
  <si>
    <t>Толщина слоя изоляции</t>
  </si>
  <si>
    <t>Коэффициент теплопередачи материала</t>
  </si>
  <si>
    <t>Наименование материала</t>
  </si>
  <si>
    <t>Наружный диаметр трубы (Dн)</t>
  </si>
  <si>
    <t>Rслоя</t>
  </si>
  <si>
    <t>м*К/Вт</t>
  </si>
  <si>
    <t>Внутренний диаметр слоя</t>
  </si>
  <si>
    <t>Расчет выполнен по методике, изложенной в п.10.2 "Водяные тепловые сети</t>
  </si>
  <si>
    <t>Rслоя = 1/(2πλ)*ln(1+2δсл/dвн)</t>
  </si>
  <si>
    <t xml:space="preserve">где:  </t>
  </si>
  <si>
    <t>λ - коэфициент теплопроводности материала;</t>
  </si>
  <si>
    <t>δсл - толщина слоя теплоизоляции;</t>
  </si>
  <si>
    <t>dвн - внутренний диаметр слоя изоляции (для первого слоя он равен</t>
  </si>
  <si>
    <t>м*К/ккал</t>
  </si>
  <si>
    <t xml:space="preserve">Σ Rсл = </t>
  </si>
  <si>
    <t xml:space="preserve">      Расчет теплопередачи от изоляции трубы в окружающую среду.</t>
  </si>
  <si>
    <t>Исходные данные для расчета</t>
  </si>
  <si>
    <t>Наименование показателя</t>
  </si>
  <si>
    <t>Температура воды в трубе</t>
  </si>
  <si>
    <t>Расчетная температура окружающей среды</t>
  </si>
  <si>
    <t>Наружный диаметр изоляции трубы</t>
  </si>
  <si>
    <t>размер-ность</t>
  </si>
  <si>
    <t>Значе-ние</t>
  </si>
  <si>
    <t xml:space="preserve">На основании данных расчета, приведенных на листах </t>
  </si>
  <si>
    <t xml:space="preserve">"Расчет теплопередачи от воды к стенки трубы" и "Данные для расчета теплопередачи </t>
  </si>
  <si>
    <t>через многослойную теплоизоляцию"  термическое сопротивление теплопроводности</t>
  </si>
  <si>
    <t>от теплоносителя к поверхности изоляции составляет:</t>
  </si>
  <si>
    <t>+ ΣRсл</t>
  </si>
  <si>
    <t xml:space="preserve">= </t>
  </si>
  <si>
    <t>термическое сопротивление теплопередачи при ориентировочном значении коэффициента</t>
  </si>
  <si>
    <t xml:space="preserve">+ ΣRсл + </t>
  </si>
  <si>
    <t>Из условия равенства тепловых потоков, выраженного уравлением:</t>
  </si>
  <si>
    <t>находим температуру поверхности изоляции (Tиз)</t>
  </si>
  <si>
    <t>Тиз=</t>
  </si>
  <si>
    <t xml:space="preserve">Коэффициент конвективной теплопередачи согласно данных методики, изложенной </t>
  </si>
  <si>
    <t>в справочном пособии "ВОДЯНЫЕ ТЕПЛОВЫЕ СЕТИ" Энергоатомиздат-1988, в п. 10.2,</t>
  </si>
  <si>
    <t>определяется по следующим формулам</t>
  </si>
  <si>
    <t>при свободной конвекции:</t>
  </si>
  <si>
    <r>
      <t>α</t>
    </r>
    <r>
      <rPr>
        <sz val="12"/>
        <rFont val="Times New Roman"/>
        <family val="1"/>
      </rPr>
      <t xml:space="preserve"> кон =</t>
    </r>
  </si>
  <si>
    <t>1,66(Тиз-Тос)</t>
  </si>
  <si>
    <t>при вынужденной конвекции :</t>
  </si>
  <si>
    <t>dн</t>
  </si>
  <si>
    <r>
      <t>α</t>
    </r>
    <r>
      <rPr>
        <sz val="10"/>
        <rFont val="Arial Cyr"/>
        <charset val="204"/>
      </rPr>
      <t>кон =3.9</t>
    </r>
  </si>
  <si>
    <t>Скорость ветра</t>
  </si>
  <si>
    <t>Wвтр</t>
  </si>
  <si>
    <t xml:space="preserve">первая формула справедлива при условии, что </t>
  </si>
  <si>
    <t>*(Tиз-Тос)</t>
  </si>
  <si>
    <t>&gt; 0,1</t>
  </si>
  <si>
    <t xml:space="preserve">в нашем случае </t>
  </si>
  <si>
    <t>dн*(Тиз-</t>
  </si>
  <si>
    <t>Тос)  =</t>
  </si>
  <si>
    <t>Вт/(м2*К)</t>
  </si>
  <si>
    <t>ккал/(час*м2*К)</t>
  </si>
  <si>
    <t>Коэффициент теплопередачи от изоляции в окружающую среду с лучистым теплом</t>
  </si>
  <si>
    <t>вычисляется по формуле:</t>
  </si>
  <si>
    <r>
      <t>α</t>
    </r>
    <r>
      <rPr>
        <sz val="12"/>
        <rFont val="Times New Roman"/>
        <family val="1"/>
      </rPr>
      <t xml:space="preserve"> рад =</t>
    </r>
  </si>
  <si>
    <r>
      <t>σ</t>
    </r>
    <r>
      <rPr>
        <sz val="10"/>
        <rFont val="Arial Cyr"/>
        <family val="2"/>
        <charset val="204"/>
      </rPr>
      <t>луч/(Тиз-Тос)*10*[(Tиз+273) - (Тос+273)]</t>
    </r>
  </si>
  <si>
    <t xml:space="preserve">где </t>
  </si>
  <si>
    <r>
      <t>σ</t>
    </r>
    <r>
      <rPr>
        <sz val="10"/>
        <rFont val="Arial Cyr"/>
        <charset val="204"/>
      </rPr>
      <t xml:space="preserve">луч = </t>
    </r>
  </si>
  <si>
    <t>Вт/(м *K )</t>
  </si>
  <si>
    <t>2    4</t>
  </si>
  <si>
    <t>таким образом</t>
  </si>
  <si>
    <t>Коэффициент теплопередачи от наружного слоя изоляции в окружающую среду</t>
  </si>
  <si>
    <t>составит:</t>
  </si>
  <si>
    <r>
      <t>α</t>
    </r>
    <r>
      <rPr>
        <sz val="12"/>
        <rFont val="Times New Roman"/>
        <family val="1"/>
      </rPr>
      <t xml:space="preserve"> нар =</t>
    </r>
  </si>
  <si>
    <r>
      <t>α</t>
    </r>
    <r>
      <rPr>
        <sz val="12"/>
        <rFont val="Times New Roman"/>
        <family val="1"/>
      </rPr>
      <t xml:space="preserve"> кон +</t>
    </r>
  </si>
  <si>
    <t>ккал/(час*м *К)</t>
  </si>
  <si>
    <t xml:space="preserve">теплопередачи от изоляции в окружающую среду в                                         Вт/(м2*К) </t>
  </si>
  <si>
    <t xml:space="preserve">Вт/(м2*К) </t>
  </si>
  <si>
    <t>Тепловые потери от воды в трубопроводе в окружающую среду расчитываются</t>
  </si>
  <si>
    <t>по следующей формуле:</t>
  </si>
  <si>
    <r>
      <t xml:space="preserve">q </t>
    </r>
    <r>
      <rPr>
        <sz val="10"/>
        <rFont val="Arial Cyr"/>
        <charset val="204"/>
      </rPr>
      <t>=</t>
    </r>
  </si>
  <si>
    <t>+</t>
  </si>
  <si>
    <r>
      <t>3.14*a*</t>
    </r>
    <r>
      <rPr>
        <sz val="10"/>
        <rFont val="Arial Cyr"/>
        <family val="2"/>
        <charset val="204"/>
      </rPr>
      <t>dвн</t>
    </r>
  </si>
  <si>
    <r>
      <t>3.14*a</t>
    </r>
    <r>
      <rPr>
        <sz val="10"/>
        <rFont val="Arial Cyr"/>
        <family val="2"/>
        <charset val="204"/>
      </rPr>
      <t>нар</t>
    </r>
    <r>
      <rPr>
        <sz val="10"/>
        <rFont val="Symbol"/>
        <family val="1"/>
        <charset val="2"/>
      </rPr>
      <t>*</t>
    </r>
    <r>
      <rPr>
        <sz val="10"/>
        <rFont val="Arial Cyr"/>
        <family val="2"/>
        <charset val="204"/>
      </rPr>
      <t>dн</t>
    </r>
  </si>
  <si>
    <t>t - Тос</t>
  </si>
  <si>
    <t>Σ Rсл</t>
  </si>
  <si>
    <t>-</t>
  </si>
  <si>
    <t>пм</t>
  </si>
  <si>
    <t>ккал/пм</t>
  </si>
  <si>
    <r>
      <t>α</t>
    </r>
    <r>
      <rPr>
        <sz val="12"/>
        <rFont val="Symbol"/>
        <family val="1"/>
        <charset val="2"/>
      </rPr>
      <t>p</t>
    </r>
    <r>
      <rPr>
        <sz val="12"/>
        <rFont val="Times New Roman"/>
        <family val="1"/>
      </rPr>
      <t>dвн</t>
    </r>
  </si>
  <si>
    <t>(Tводы-Тиз)</t>
  </si>
  <si>
    <t>(Tводы-Тос)</t>
  </si>
  <si>
    <r>
      <t>αи</t>
    </r>
    <r>
      <rPr>
        <sz val="12"/>
        <rFont val="Symbol"/>
        <family val="1"/>
        <charset val="2"/>
      </rPr>
      <t>p</t>
    </r>
    <r>
      <rPr>
        <sz val="12"/>
        <rFont val="Times New Roman"/>
        <family val="1"/>
      </rPr>
      <t>dн</t>
    </r>
  </si>
  <si>
    <t>Пенополиуретан</t>
  </si>
  <si>
    <r>
      <t>Кинематичес-кая вязкость  "</t>
    </r>
    <r>
      <rPr>
        <b/>
        <sz val="10"/>
        <rFont val="Arial Cyr"/>
        <charset val="204"/>
      </rPr>
      <t>ν</t>
    </r>
    <r>
      <rPr>
        <sz val="9"/>
        <rFont val="Arial Cyr"/>
        <charset val="204"/>
      </rPr>
      <t>"</t>
    </r>
  </si>
  <si>
    <r>
      <t>Температуропроводность "</t>
    </r>
    <r>
      <rPr>
        <b/>
        <sz val="9"/>
        <rFont val="Arial Cyr"/>
        <charset val="204"/>
      </rPr>
      <t>а</t>
    </r>
    <r>
      <rPr>
        <sz val="9"/>
        <rFont val="Arial Cyr"/>
        <charset val="204"/>
      </rPr>
      <t>"</t>
    </r>
  </si>
  <si>
    <t>Характеристики материалов в сухом состоянии</t>
  </si>
  <si>
    <t>Расчетное массовое отношение</t>
  </si>
  <si>
    <t>Расчетные коэффициенты (при условиях эксплуатации по приложению 2 СНиП II-3)</t>
  </si>
  <si>
    <t>№ п.п.</t>
  </si>
  <si>
    <t>Материал</t>
  </si>
  <si>
    <t>Плот-</t>
  </si>
  <si>
    <t>Удель-</t>
  </si>
  <si>
    <t>Коэффи-</t>
  </si>
  <si>
    <t>влаги в материале (при усло-</t>
  </si>
  <si>
    <t>тепло-</t>
  </si>
  <si>
    <t>паро-</t>
  </si>
  <si>
    <t>ность</t>
  </si>
  <si>
    <t>ная тепло-</t>
  </si>
  <si>
    <t>циент тепло-</t>
  </si>
  <si>
    <t>виях эксп-</t>
  </si>
  <si>
    <t>проводности</t>
  </si>
  <si>
    <t>проводность</t>
  </si>
  <si>
    <t xml:space="preserve">усвоения </t>
  </si>
  <si>
    <t>прони-</t>
  </si>
  <si>
    <t xml:space="preserve">емкость </t>
  </si>
  <si>
    <t>провод-</t>
  </si>
  <si>
    <t>луатации по прило-</t>
  </si>
  <si>
    <t>ккал/(ч м°С)</t>
  </si>
  <si>
    <t xml:space="preserve">(при периоде </t>
  </si>
  <si>
    <t>цае-</t>
  </si>
  <si>
    <t>, кДж/</t>
  </si>
  <si>
    <t xml:space="preserve">ности </t>
  </si>
  <si>
    <t>/(кг·°С)</t>
  </si>
  <si>
    <t>, Вт/</t>
  </si>
  <si>
    <t>/(м·ч Па)</t>
  </si>
  <si>
    <t>/(м·°С)</t>
  </si>
  <si>
    <t>А</t>
  </si>
  <si>
    <t>Б</t>
  </si>
  <si>
    <t>A</t>
  </si>
  <si>
    <t>А, Б</t>
  </si>
  <si>
    <t>1 Теплоизоляционные материалы (ГОСТ 16381)</t>
  </si>
  <si>
    <t>А Полимерные</t>
  </si>
  <si>
    <t>Экструдированный пенополистирол фирмы БАСФ ТУ 2244-001-47547616-00 Стиродур 2500С</t>
  </si>
  <si>
    <t>То же,  2800С</t>
  </si>
  <si>
    <t>»      3035С</t>
  </si>
  <si>
    <t>»      4000С</t>
  </si>
  <si>
    <t>»       5000С</t>
  </si>
  <si>
    <t>Пенополистирол фирмы БАСФ Стиропор PS15</t>
  </si>
  <si>
    <t>То же  PS20</t>
  </si>
  <si>
    <t>»     PS30</t>
  </si>
  <si>
    <t>»</t>
  </si>
  <si>
    <t>Пенополистирол (ГОСТ 15588)</t>
  </si>
  <si>
    <t>Пенопласт ПХВ-1 и ПВ1</t>
  </si>
  <si>
    <t>То же</t>
  </si>
  <si>
    <t>Плиты из резольно-формальдегидного пенопласта (ГОСТ 20916)</t>
  </si>
  <si>
    <t>Перлитофосфогелевые изделия</t>
  </si>
  <si>
    <t>Теплоизоляционные изделия из вспененного синтетического каучука «Аэрофлекс»</t>
  </si>
  <si>
    <t>То же, «Кайманфлекс»:</t>
  </si>
  <si>
    <t>ЕС</t>
  </si>
  <si>
    <t>60-80</t>
  </si>
  <si>
    <t>ST</t>
  </si>
  <si>
    <t>ЕСО</t>
  </si>
  <si>
    <t>60-95</t>
  </si>
  <si>
    <t>Экструзионный пенополистирол «Пеноплэкс»(ТУ 5767002-46261013), тип 35</t>
  </si>
  <si>
    <t>То же, тип 45</t>
  </si>
  <si>
    <t>Б Минераловатные (ГОСТ 4640), стекловолокнистые, пеностекло, газостекло</t>
  </si>
  <si>
    <t>Маты минераловатные прошивные (ГОСТ 21880) и на синтетическом связующем (ГОСТ 9573)</t>
  </si>
  <si>
    <t>Плиты мягкие, полужесткие и жесткие минераловатные на синтетическом и битумном связующих (ГОСТ 9573, ГОСТ 10140, ГОСТ 22950)</t>
  </si>
  <si>
    <t>Плиты минераловатные повышенной жесткости на органофосфатном связующем</t>
  </si>
  <si>
    <t>Плиты полужесткие минераловатные на крахмальном связующем</t>
  </si>
  <si>
    <t>Плиты из стеклянного штапельного волокна на синтетическом связующем (ГОСТ 10499)</t>
  </si>
  <si>
    <t>Маты и полосы из стеклянного волокна прошивные</t>
  </si>
  <si>
    <t>Пеностекло или газостекло</t>
  </si>
  <si>
    <t>Плиты древесно-</t>
  </si>
  <si>
    <t>волокнистые и древесно-стружечные (ГОСТ 4598, ГОСТ 8904, ГОСТ 10632)</t>
  </si>
  <si>
    <t>Плиты фибролитовые и арболит (ГОСТ 19222) на портландцементе</t>
  </si>
  <si>
    <t>Плиты камышитовые</t>
  </si>
  <si>
    <t>Тоже</t>
  </si>
  <si>
    <t>Плиты торфяные теплоизоляционные</t>
  </si>
  <si>
    <t>Пакля</t>
  </si>
  <si>
    <t>Плиты из гипса (ГОСТ 6428)</t>
  </si>
  <si>
    <t>Листы гипсовые обшивочные (сухая штукатурка) (ГОСТ 6266)</t>
  </si>
  <si>
    <t>Изделия из вспученного перлита на битумном связующем (ГОСТ 16136)</t>
  </si>
  <si>
    <t>Г Засыпки</t>
  </si>
  <si>
    <t>Гравий керамзитовый (ГОСТ 9757)</t>
  </si>
  <si>
    <t>Гравий шунгизитовый (ГОСТ 9757)</t>
  </si>
  <si>
    <t>Щебень из доменного шлака (ГОСТ 5578), шлаковой пемзы и аглопорита (ГОСТ 9757)</t>
  </si>
  <si>
    <t>Щебень и песок из перлита вспученного (ГОСТ 10832)</t>
  </si>
  <si>
    <t>Вермикулит вспученный (ГОСТ 12865)</t>
  </si>
  <si>
    <t>Песок для строительных работ (ГОСТ 8736)</t>
  </si>
  <si>
    <t>Д Теплые растворы (ГОСТ 28013)</t>
  </si>
  <si>
    <t>Цементно-шлаковый</t>
  </si>
  <si>
    <t>Гипсоперлитовый</t>
  </si>
  <si>
    <t>Поризованный гипсоперлитовый</t>
  </si>
  <si>
    <t>II Конструкционно-теплоизоляционные материалы</t>
  </si>
  <si>
    <t>А Бетоны на природных пористых заполнителях (ГОСТ 25820, ГОСТ 22263)</t>
  </si>
  <si>
    <t>Бетон на вулканическом шлаке</t>
  </si>
  <si>
    <t>Б Бетоны на искусственных пористых заполнителях (ГОСТ 25820, ГОСТ 9757)</t>
  </si>
  <si>
    <t>Керамзитобетон на керамзитовом песке и керамзитопенобетон</t>
  </si>
  <si>
    <t>Керамзитобетон на кварцевом песке с поризацией</t>
  </si>
  <si>
    <t>Керамзитобетон на перлитовом песке</t>
  </si>
  <si>
    <t>Шунгизитобетон</t>
  </si>
  <si>
    <t>Шлакопемзобетон (термозитобетон)</t>
  </si>
  <si>
    <t>Шлакопемзопено- и шлакопемзогазобетон</t>
  </si>
  <si>
    <t>Бетон на доменных гранулированных шлаках</t>
  </si>
  <si>
    <t>Аглопоритобетон и бетоны на топливных (котельных) шлаках</t>
  </si>
  <si>
    <t>Бетон на зольном гравии</t>
  </si>
  <si>
    <t>—</t>
  </si>
  <si>
    <t>Полистиролбетон (ТУ 5741-159-002-84807, ТУ 5760-160-0284807)</t>
  </si>
  <si>
    <t>В Бетоны ячеистые (ГОСТ 25485, ГОСТ 5742)</t>
  </si>
  <si>
    <t>Газо- и пенобетон, газо- и пеносиликат</t>
  </si>
  <si>
    <t>Газо- и пенозолобетон</t>
  </si>
  <si>
    <t>Г Кирпичная кладка из сплошного кирпича</t>
  </si>
  <si>
    <t>Глиняного обыкновенного (ГОСТ 530) на цементно-песчаном растворе</t>
  </si>
  <si>
    <t>Глиняного обыкновенного на цементно-шлаковом растворе</t>
  </si>
  <si>
    <t>Глиняного обыкновенного на цементно-перлитовом растворе</t>
  </si>
  <si>
    <t>Силикатного (ГОСТ 379) на цементно-песчаном растворе</t>
  </si>
  <si>
    <t>Трепельного (ГОСТ 530) на цементно-песчаном растворе</t>
  </si>
  <si>
    <t>Шлакового на цементно-песчаном растворе</t>
  </si>
  <si>
    <t>Д Кирпичная кладка из пустотного кирпича</t>
  </si>
  <si>
    <t>Силикатного одиннадцатипустот-</t>
  </si>
  <si>
    <t>ного (ГОСТ 379) на цементно-песчаном растворе</t>
  </si>
  <si>
    <t>Силикатного четырнадцатипустот-</t>
  </si>
  <si>
    <t>Е Дерево и изделия из него</t>
  </si>
  <si>
    <t>Сосна и ель поперек волокон (ГОСТ 8486, ГОСТ 9463)</t>
  </si>
  <si>
    <t>Сосна и ель вдоль волокон</t>
  </si>
  <si>
    <t>Дуб поперек волокон (ГОСТ 9462, ГОСТ 2695)</t>
  </si>
  <si>
    <t>Фанера клееная (ГОСТ 8673)</t>
  </si>
  <si>
    <t>Картон облицовочный (ГОСТ 8740)</t>
  </si>
  <si>
    <t>Картон строительный многослойный</t>
  </si>
  <si>
    <t>III Конструкционные материалы</t>
  </si>
  <si>
    <t>А Бетоны (ГОСТ 7473, ГОСТ 25192) и растворы (ГОСТ 28013)</t>
  </si>
  <si>
    <t>Железобетон (ГОСТ 26633)</t>
  </si>
  <si>
    <t>Бетон на гравии или щебне из природного камня (ГОСТ 26633)</t>
  </si>
  <si>
    <t>Раствор цементно-песчаный</t>
  </si>
  <si>
    <t>Раствор сложный (песок, известь, цемент)</t>
  </si>
  <si>
    <t>Раствор известково-песчаный</t>
  </si>
  <si>
    <t>Б Облицовка природным камнем (ГОСТ 9480)</t>
  </si>
  <si>
    <t>Гранит, гнейс и базальт</t>
  </si>
  <si>
    <t>Туф</t>
  </si>
  <si>
    <t>В Материалы кровельные, гидроизоляционные, облицовочные и рулонные покрытия для полов (ГОСТ 23835, ГОСТ 30547)</t>
  </si>
  <si>
    <t>Листы асбестоцементные плоские (ГОСТ 18124)</t>
  </si>
  <si>
    <t>Битумы нефтяные строительные и кровельные (ГОСТ 6617, ГОСТ 9548)</t>
  </si>
  <si>
    <t>Асфальтобетон (ГОСТ 9128)</t>
  </si>
  <si>
    <t>Рубероид (ГОСТ 10923), пергамин (ГОСТ 2697), толь</t>
  </si>
  <si>
    <t>Линолеум поливинилхлоридный на теплоизолирующей подоснове (ГОСТ 18108)</t>
  </si>
  <si>
    <t>Линолеум поливинилхлоридный на тканевой основе (ГОСТ 7251)</t>
  </si>
  <si>
    <t>Г Металлы и стекло</t>
  </si>
  <si>
    <t>Сталь стержневая арматурная (ГОСТ 10884, ГОСТ 5781)</t>
  </si>
  <si>
    <t>Чугун (ГОСТ 9583)</t>
  </si>
  <si>
    <t>Алюминий (ГОСТ 22233, ГОСТ 24767)</t>
  </si>
  <si>
    <t>Медь (ГОСТ 931, ГОСТ 15527)</t>
  </si>
  <si>
    <t>Стекло оконное (ГОСТ 111)</t>
  </si>
  <si>
    <t xml:space="preserve">1. Расчетные значения коэффициента теплоусвоения (при периоде 24 ч) материала в конструкции вычислены по формуле </t>
  </si>
  <si>
    <t>,</t>
  </si>
  <si>
    <r>
      <t>, кг/м</t>
    </r>
    <r>
      <rPr>
        <vertAlign val="superscript"/>
        <sz val="9"/>
        <rFont val="Times New Roman"/>
        <family val="1"/>
        <charset val="204"/>
      </rPr>
      <t>3</t>
    </r>
  </si>
  <si>
    <r>
      <t xml:space="preserve"> </t>
    </r>
    <r>
      <rPr>
        <b/>
        <sz val="9"/>
        <rFont val="Symbol"/>
        <family val="1"/>
        <charset val="2"/>
      </rPr>
      <t>l</t>
    </r>
    <r>
      <rPr>
        <b/>
        <sz val="9"/>
        <rFont val="Times New Roman"/>
        <family val="1"/>
        <charset val="204"/>
      </rPr>
      <t>, Вт/(м·°С)</t>
    </r>
  </si>
  <si>
    <r>
      <t xml:space="preserve">жению 2 СНиП II-3) </t>
    </r>
    <r>
      <rPr>
        <i/>
        <sz val="9"/>
        <rFont val="Times New Roman"/>
        <family val="1"/>
        <charset val="204"/>
      </rPr>
      <t>w</t>
    </r>
    <r>
      <rPr>
        <sz val="9"/>
        <rFont val="Times New Roman"/>
        <family val="1"/>
        <charset val="204"/>
      </rPr>
      <t>, %</t>
    </r>
  </si>
  <si>
    <r>
      <t xml:space="preserve">24 ч) </t>
    </r>
    <r>
      <rPr>
        <i/>
        <sz val="9"/>
        <rFont val="Times New Roman"/>
        <family val="1"/>
        <charset val="204"/>
      </rPr>
      <t>s</t>
    </r>
    <r>
      <rPr>
        <sz val="9"/>
        <rFont val="Times New Roman"/>
        <family val="1"/>
        <charset val="204"/>
      </rPr>
      <t xml:space="preserve">, </t>
    </r>
  </si>
  <si>
    <r>
      <t xml:space="preserve">мости </t>
    </r>
    <r>
      <rPr>
        <sz val="9"/>
        <rFont val="Symbol"/>
        <family val="1"/>
        <charset val="2"/>
      </rPr>
      <t>m</t>
    </r>
    <r>
      <rPr>
        <sz val="9"/>
        <rFont val="Times New Roman"/>
        <family val="1"/>
        <charset val="204"/>
      </rPr>
      <t>, мг/</t>
    </r>
  </si>
  <si>
    <r>
      <t>Вт/(м</t>
    </r>
    <r>
      <rPr>
        <vertAlign val="superscript"/>
        <sz val="10"/>
        <rFont val="Times New Roman"/>
        <family val="1"/>
        <charset val="204"/>
      </rPr>
      <t>2</t>
    </r>
    <r>
      <rPr>
        <sz val="9"/>
        <rFont val="Times New Roman"/>
        <family val="1"/>
        <charset val="204"/>
      </rPr>
      <t>·</t>
    </r>
    <r>
      <rPr>
        <sz val="9"/>
        <rFont val="Symbol"/>
        <family val="1"/>
        <charset val="2"/>
      </rPr>
      <t>°</t>
    </r>
    <r>
      <rPr>
        <sz val="9"/>
        <rFont val="Times New Roman"/>
        <family val="1"/>
        <charset val="204"/>
      </rPr>
      <t>С)</t>
    </r>
  </si>
  <si>
    <r>
      <t>В</t>
    </r>
    <r>
      <rPr>
        <sz val="10"/>
        <rFont val="Times New Roman"/>
        <family val="1"/>
        <charset val="204"/>
      </rPr>
      <t xml:space="preserve"> </t>
    </r>
    <r>
      <rPr>
        <i/>
        <sz val="10"/>
        <rFont val="Times New Roman"/>
        <family val="1"/>
        <charset val="204"/>
      </rPr>
      <t>Плиты из природных органических и неорганических материалов</t>
    </r>
  </si>
  <si>
    <r>
      <t>Керамического пустотного плотностью 1400 кг/м</t>
    </r>
    <r>
      <rPr>
        <vertAlign val="superscript"/>
        <sz val="10"/>
        <rFont val="Times New Roman"/>
        <family val="1"/>
        <charset val="204"/>
      </rPr>
      <t xml:space="preserve">3 </t>
    </r>
    <r>
      <rPr>
        <sz val="10"/>
        <rFont val="Times New Roman"/>
        <family val="1"/>
        <charset val="204"/>
      </rPr>
      <t>(брутто) на цементно-песчаном растворе</t>
    </r>
  </si>
  <si>
    <r>
      <t>Керамического пустотного плотностью 1300 кг/м</t>
    </r>
    <r>
      <rPr>
        <vertAlign val="superscript"/>
        <sz val="10"/>
        <rFont val="Times New Roman"/>
        <family val="1"/>
        <charset val="204"/>
      </rPr>
      <t xml:space="preserve">3 </t>
    </r>
    <r>
      <rPr>
        <sz val="10"/>
        <rFont val="Times New Roman"/>
        <family val="1"/>
        <charset val="204"/>
      </rPr>
      <t>(брутто) на цементно-песчаном растворе</t>
    </r>
  </si>
  <si>
    <r>
      <t>Керамического пустотного плотностью 1000 кг/м</t>
    </r>
    <r>
      <rPr>
        <vertAlign val="superscript"/>
        <sz val="10"/>
        <rFont val="Times New Roman"/>
        <family val="1"/>
        <charset val="204"/>
      </rPr>
      <t xml:space="preserve">3 </t>
    </r>
    <r>
      <rPr>
        <sz val="10"/>
        <rFont val="Times New Roman"/>
        <family val="1"/>
        <charset val="204"/>
      </rPr>
      <t>(брутто) на цементно-песчаном растворе</t>
    </r>
  </si>
  <si>
    <r>
      <t xml:space="preserve">где </t>
    </r>
    <r>
      <rPr>
        <sz val="11"/>
        <rFont val="Symbol"/>
        <family val="1"/>
        <charset val="2"/>
      </rPr>
      <t>l</t>
    </r>
    <r>
      <rPr>
        <sz val="11"/>
        <rFont val="Times New Roman"/>
        <family val="1"/>
        <charset val="204"/>
      </rPr>
      <t xml:space="preserve">, </t>
    </r>
    <r>
      <rPr>
        <sz val="11"/>
        <rFont val="Symbol"/>
        <family val="1"/>
        <charset val="2"/>
      </rPr>
      <t>r</t>
    </r>
    <r>
      <rPr>
        <vertAlign val="subscript"/>
        <sz val="11"/>
        <rFont val="Times New Roman"/>
        <family val="1"/>
        <charset val="204"/>
      </rPr>
      <t>0</t>
    </r>
    <r>
      <rPr>
        <sz val="11"/>
        <rFont val="Times New Roman"/>
        <family val="1"/>
        <charset val="204"/>
      </rPr>
      <t xml:space="preserve">, </t>
    </r>
    <r>
      <rPr>
        <i/>
        <sz val="11"/>
        <rFont val="Times New Roman"/>
        <family val="1"/>
        <charset val="204"/>
      </rPr>
      <t>с</t>
    </r>
    <r>
      <rPr>
        <vertAlign val="subscript"/>
        <sz val="11"/>
        <rFont val="Times New Roman"/>
        <family val="1"/>
        <charset val="204"/>
      </rPr>
      <t>0</t>
    </r>
    <r>
      <rPr>
        <sz val="11"/>
        <rFont val="Times New Roman"/>
        <family val="1"/>
        <charset val="204"/>
      </rPr>
      <t xml:space="preserve">, </t>
    </r>
    <r>
      <rPr>
        <i/>
        <sz val="11"/>
        <rFont val="Times New Roman"/>
        <family val="1"/>
        <charset val="204"/>
      </rPr>
      <t>w</t>
    </r>
    <r>
      <rPr>
        <sz val="11"/>
        <rFont val="Times New Roman"/>
        <family val="1"/>
        <charset val="204"/>
      </rPr>
      <t xml:space="preserve"> — принимают по соответствующим графам настоящей таблицы</t>
    </r>
  </si>
  <si>
    <t xml:space="preserve"> Styrodur </t>
  </si>
  <si>
    <t>Показатель</t>
  </si>
  <si>
    <t>Ед. изм.</t>
  </si>
  <si>
    <t>Стандарт</t>
  </si>
  <si>
    <t>2500 C</t>
  </si>
  <si>
    <t>2800 С</t>
  </si>
  <si>
    <t>3035 C</t>
  </si>
  <si>
    <t>4000 C</t>
  </si>
  <si>
    <t>5000 C</t>
  </si>
  <si>
    <t>Плотность (не менее)</t>
  </si>
  <si>
    <t>кг/м</t>
  </si>
  <si>
    <t>ГОСТ 17177-94</t>
  </si>
  <si>
    <t>DIN EN 1602</t>
  </si>
  <si>
    <t>Коэффициент теплопро-водности в сухом состоянии</t>
  </si>
  <si>
    <t>ГОСТ 30290-94</t>
  </si>
  <si>
    <t>Расчетные коэффициенты теплопроводности при условиях эксплуатации</t>
  </si>
  <si>
    <t>ккал/м*ч*К</t>
  </si>
  <si>
    <t>Линейный коэффициент теплового расширения</t>
  </si>
  <si>
    <t>длина</t>
  </si>
  <si>
    <t>К</t>
  </si>
  <si>
    <t>8*10</t>
  </si>
  <si>
    <t>ширина</t>
  </si>
  <si>
    <t>6*10</t>
  </si>
  <si>
    <t>Паропроницаемость</t>
  </si>
  <si>
    <t>кг/м*с*Па</t>
  </si>
  <si>
    <t>ГОСТ 25898-83</t>
  </si>
  <si>
    <t>3,76*10</t>
  </si>
  <si>
    <t>3,6*10</t>
  </si>
  <si>
    <t>1,4*10</t>
  </si>
  <si>
    <t>Водопоглощение через 24 часа</t>
  </si>
  <si>
    <t>% по объему</t>
  </si>
  <si>
    <t>Адгезия к бетону</t>
  </si>
  <si>
    <t>N/mm</t>
  </si>
  <si>
    <t>DIN EN 1607</t>
  </si>
  <si>
    <t>0,25 - 0,30</t>
  </si>
  <si>
    <t>Прочность на сдвиг</t>
  </si>
  <si>
    <t>DIN EN 12090</t>
  </si>
  <si>
    <t>Прочность на сжатие при 10% линейной деформации (не менее)</t>
  </si>
  <si>
    <t>DIN EN 826</t>
  </si>
  <si>
    <t>Предел прочности при изгибе</t>
  </si>
  <si>
    <t>Прочность на сжатие при длительных нагрузках (при 2% деформации через 50 лет)</t>
  </si>
  <si>
    <t>DIN EN 1606</t>
  </si>
  <si>
    <t>Диапазон рабочих температур</t>
  </si>
  <si>
    <t>-180...+75</t>
  </si>
  <si>
    <t>Расчетный срок службы</t>
  </si>
  <si>
    <t>лет</t>
  </si>
  <si>
    <t>Морозостойкость</t>
  </si>
  <si>
    <t>Более 300 циклов замораживания/оттаивания</t>
  </si>
  <si>
    <t>2800 C</t>
  </si>
  <si>
    <t>2500 CS</t>
  </si>
  <si>
    <t>3035 CS</t>
  </si>
  <si>
    <t>3035 CN</t>
  </si>
  <si>
    <t>4000 CS</t>
  </si>
  <si>
    <t>5000 CS</t>
  </si>
  <si>
    <t>Поверхность</t>
  </si>
  <si>
    <t>гладкая</t>
  </si>
  <si>
    <t>рифленая</t>
  </si>
  <si>
    <t>Толщины (мм)</t>
  </si>
  <si>
    <t>20/30/40/ 50/60</t>
  </si>
  <si>
    <t>30/40/50/ 60/80 100/120</t>
  </si>
  <si>
    <t>30/40/50/ 60/70/80/ 100/120/ 140/160</t>
  </si>
  <si>
    <t>30/40/50/ 60/80/100</t>
  </si>
  <si>
    <t>30/40/50/ 60/80</t>
  </si>
  <si>
    <t>40/50/60</t>
  </si>
  <si>
    <t>Размер плиты (мм)</t>
  </si>
  <si>
    <t>1250х600</t>
  </si>
  <si>
    <t>1265х615</t>
  </si>
  <si>
    <t>2510х610</t>
  </si>
  <si>
    <t>ROCKWOOL</t>
  </si>
  <si>
    <t>Rockwool Batts 32</t>
  </si>
  <si>
    <t>МАТЫ</t>
  </si>
  <si>
    <t>Rockwool Batts 40</t>
  </si>
  <si>
    <t>Rockwool Batts 48</t>
  </si>
  <si>
    <t>ЦИЛИНДРЫ</t>
  </si>
  <si>
    <t>по ТУ 010-45757203-01</t>
  </si>
  <si>
    <r>
      <t>Допустимое напряжение сжатия при нагрузках от транспорта</t>
    </r>
    <r>
      <rPr>
        <b/>
        <sz val="8"/>
        <rFont val="Tahoma"/>
        <family val="2"/>
        <charset val="204"/>
      </rPr>
      <t>*</t>
    </r>
  </si>
  <si>
    <r>
      <t>*</t>
    </r>
    <r>
      <rPr>
        <sz val="7"/>
        <rFont val="Tahoma"/>
        <family val="2"/>
        <charset val="204"/>
      </rPr>
      <t>В показателе учтен фактор колебаний или коэффициент ударной нагрузки (w=1,4)</t>
    </r>
  </si>
  <si>
    <r>
      <t xml:space="preserve">Применение: </t>
    </r>
    <r>
      <rPr>
        <sz val="8"/>
        <color indexed="8"/>
        <rFont val="Verdana"/>
        <family val="2"/>
        <charset val="204"/>
      </rPr>
      <t>Rockwool Batts применяется для теплоизоляции вертикальных и горизонтальных конструкций, где материал не подвергается нагрузкам. Rockwool Batts 40 и 48 используются для теплоизоляции резервуаров.</t>
    </r>
  </si>
  <si>
    <t>наименование показателя</t>
  </si>
  <si>
    <t>Единица измерения</t>
  </si>
  <si>
    <t>Тип изоляции</t>
  </si>
  <si>
    <t>ППУ</t>
  </si>
  <si>
    <t>АПБ</t>
  </si>
  <si>
    <t>MВ</t>
  </si>
  <si>
    <t>ППБ</t>
  </si>
  <si>
    <t>ФП</t>
  </si>
  <si>
    <t>Коэффициент теплопроводности (λ)</t>
  </si>
  <si>
    <t>Вт/м*°С</t>
  </si>
  <si>
    <t>Приведенные тепловые потери (Qфакт./Qнорм.)</t>
  </si>
  <si>
    <t>— </t>
  </si>
  <si>
    <t>Плотность, не более </t>
  </si>
  <si>
    <t>кг/м 3</t>
  </si>
  <si>
    <t>Термостойкость нормируемая</t>
  </si>
  <si>
    <t>Влагонасыщение</t>
  </si>
  <si>
    <t>% за 30 сут.</t>
  </si>
  <si>
    <t>Прочность на сжатие </t>
  </si>
  <si>
    <t>Средний срок службы</t>
  </si>
  <si>
    <t>Лет</t>
  </si>
  <si>
    <t>25-30*</t>
  </si>
  <si>
    <t>10-15**</t>
  </si>
  <si>
    <t>8-10**</t>
  </si>
  <si>
    <t>25-30**</t>
  </si>
  <si>
    <t>5-10**</t>
  </si>
  <si>
    <t>Способ прокладки</t>
  </si>
  <si>
    <t>Надземн. </t>
  </si>
  <si>
    <t>Канальн. </t>
  </si>
  <si>
    <t>б/канальн. </t>
  </si>
  <si>
    <t>Способ прокладки на углах поворота</t>
  </si>
  <si>
    <t>в канале </t>
  </si>
  <si>
    <t>Способ установки запорной арматуры</t>
  </si>
  <si>
    <t>в камерах </t>
  </si>
  <si>
    <t>Бескамерно</t>
  </si>
  <si>
    <t>Способ заделки стыков</t>
  </si>
  <si>
    <t>Заливка на трассе </t>
  </si>
  <si>
    <t>Готовыми изделиями </t>
  </si>
  <si>
    <t>Необходимость специальных мероприятий по защите от электрохимической коррозии </t>
  </si>
  <si>
    <t>Необходимость мероприятий по водопонижению (дренаж) </t>
  </si>
  <si>
    <t>Возможность устройства постоянного мониторинга состояния труб (ОД К) </t>
  </si>
  <si>
    <t>Возможность применения одноразовых компенсаторов </t>
  </si>
  <si>
    <t>+ — необходимо (возможно);</t>
  </si>
  <si>
    <t>ППУ— пенополиуретановая изоляция в оболочке из полиэтилена</t>
  </si>
  <si>
    <t>- — необязательно (невозможно);</t>
  </si>
  <si>
    <t>АПБ— изоляция из монолитного автоклавного армопенобетона</t>
  </si>
  <si>
    <t>* — по мировым и российским данным;</t>
  </si>
  <si>
    <t>MB — подвесная изоляция из минераловатных изделий</t>
  </si>
  <si>
    <t>** — по российским данным.</t>
  </si>
  <si>
    <t>ППБ— изоляция из пенополимербетона</t>
  </si>
  <si>
    <t>ООО ВАДИС ЦЕНТР</t>
  </si>
  <si>
    <t>ФП — изоляция из фенольного поропласта</t>
  </si>
  <si>
    <r>
      <t>СО</t>
    </r>
    <r>
      <rPr>
        <b/>
        <sz val="8"/>
        <rFont val="Arial Cyr"/>
        <charset val="204"/>
      </rPr>
      <t>2</t>
    </r>
  </si>
  <si>
    <t>Ячеистый бетон</t>
  </si>
  <si>
    <t>яч.бетон</t>
  </si>
  <si>
    <t>Расход натурального топлива (газа)</t>
  </si>
  <si>
    <t>кпд котлда</t>
  </si>
  <si>
    <t>нм3/час</t>
  </si>
  <si>
    <t>Молекулярная масса</t>
  </si>
  <si>
    <t>Составитель</t>
  </si>
  <si>
    <t xml:space="preserve">Симоненко </t>
  </si>
  <si>
    <t>kis-total@yandex.ru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</si>
</sst>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000"/>
    <numFmt numFmtId="165" formatCode="0.00000000"/>
    <numFmt numFmtId="166" formatCode="0.00000"/>
    <numFmt numFmtId="167" formatCode="0.0000"/>
    <numFmt numFmtId="168" formatCode="0.000"/>
    <numFmt numFmtId="169" formatCode="0.000000000"/>
    <numFmt numFmtId="170" formatCode="0.0"/>
  </numFmts>
  <fonts count="62" x14ac:knownFonts="1">
    <font>
      <sz val="10"/>
      <name val="Arial Cyr"/>
      <charset val="204"/>
    </font>
    <font>
      <b/>
      <sz val="12"/>
      <name val="Arial Cyr"/>
      <family val="2"/>
      <charset val="204"/>
    </font>
    <font>
      <sz val="10"/>
      <color indexed="12"/>
      <name val="Arial Cyr"/>
      <family val="2"/>
      <charset val="204"/>
    </font>
    <font>
      <b/>
      <sz val="10"/>
      <name val="Arial Cyr"/>
      <family val="2"/>
      <charset val="204"/>
    </font>
    <font>
      <sz val="8"/>
      <color indexed="81"/>
      <name val="Tahoma"/>
      <family val="2"/>
      <charset val="204"/>
    </font>
    <font>
      <b/>
      <sz val="8"/>
      <name val="Arial Cyr"/>
      <family val="2"/>
      <charset val="204"/>
    </font>
    <font>
      <b/>
      <sz val="14"/>
      <name val="Arial Cyr"/>
      <family val="2"/>
      <charset val="204"/>
    </font>
    <font>
      <i/>
      <sz val="14"/>
      <color indexed="10"/>
      <name val="Arial Cyr"/>
      <family val="2"/>
      <charset val="204"/>
    </font>
    <font>
      <i/>
      <sz val="14"/>
      <name val="Arial Cyr"/>
      <family val="2"/>
      <charset val="204"/>
    </font>
    <font>
      <sz val="16"/>
      <color indexed="12"/>
      <name val="Times New Roman Cyr"/>
      <family val="1"/>
      <charset val="204"/>
    </font>
    <font>
      <b/>
      <sz val="12"/>
      <color indexed="9"/>
      <name val="Arial Cyr"/>
      <family val="2"/>
      <charset val="204"/>
    </font>
    <font>
      <sz val="8"/>
      <name val="Arial Cyr"/>
      <family val="2"/>
      <charset val="204"/>
    </font>
    <font>
      <sz val="12"/>
      <name val="Arial Cyr"/>
      <family val="2"/>
      <charset val="204"/>
    </font>
    <font>
      <sz val="10"/>
      <color indexed="9"/>
      <name val="Arial Cyr"/>
      <family val="2"/>
      <charset val="204"/>
    </font>
    <font>
      <sz val="10"/>
      <name val="Arial Cyr"/>
      <family val="2"/>
      <charset val="204"/>
    </font>
    <font>
      <sz val="14"/>
      <name val="Arial Cyr"/>
      <family val="2"/>
      <charset val="204"/>
    </font>
    <font>
      <b/>
      <sz val="10"/>
      <color indexed="9"/>
      <name val="Arial Cyr"/>
      <family val="2"/>
      <charset val="204"/>
    </font>
    <font>
      <sz val="12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  <charset val="204"/>
    </font>
    <font>
      <b/>
      <sz val="8"/>
      <color indexed="10"/>
      <name val="Tahoma"/>
      <family val="2"/>
    </font>
    <font>
      <u/>
      <sz val="10"/>
      <name val="Arial Cyr"/>
      <family val="2"/>
      <charset val="204"/>
    </font>
    <font>
      <sz val="14"/>
      <name val="Symbol"/>
      <family val="1"/>
      <charset val="2"/>
    </font>
    <font>
      <sz val="14"/>
      <name val="Arial Cyr"/>
      <charset val="204"/>
    </font>
    <font>
      <sz val="12"/>
      <name val="Times New Roman"/>
      <family val="1"/>
    </font>
    <font>
      <sz val="14"/>
      <name val="Times New Roman"/>
      <family val="1"/>
    </font>
    <font>
      <sz val="10"/>
      <name val="Symbol"/>
      <family val="1"/>
      <charset val="2"/>
    </font>
    <font>
      <sz val="12"/>
      <name val="Symbol"/>
      <family val="1"/>
      <charset val="2"/>
    </font>
    <font>
      <sz val="9"/>
      <name val="Arial Cyr"/>
      <charset val="204"/>
    </font>
    <font>
      <b/>
      <sz val="9"/>
      <name val="Arial Cyr"/>
      <charset val="204"/>
    </font>
    <font>
      <b/>
      <sz val="10"/>
      <name val="Arial Cyr"/>
      <charset val="204"/>
    </font>
    <font>
      <sz val="8"/>
      <name val="Arial Cyr"/>
      <charset val="204"/>
    </font>
    <font>
      <sz val="9"/>
      <name val="Times New Roman"/>
      <family val="1"/>
      <charset val="204"/>
    </font>
    <font>
      <b/>
      <sz val="9"/>
      <name val="Times New Roman"/>
      <family val="1"/>
      <charset val="204"/>
    </font>
    <font>
      <vertAlign val="superscript"/>
      <sz val="9"/>
      <name val="Times New Roman"/>
      <family val="1"/>
      <charset val="204"/>
    </font>
    <font>
      <b/>
      <sz val="9"/>
      <name val="Symbol"/>
      <family val="1"/>
      <charset val="2"/>
    </font>
    <font>
      <i/>
      <sz val="9"/>
      <name val="Times New Roman"/>
      <family val="1"/>
      <charset val="204"/>
    </font>
    <font>
      <sz val="9"/>
      <name val="Symbol"/>
      <family val="1"/>
      <charset val="2"/>
    </font>
    <font>
      <vertAlign val="superscript"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sz val="11"/>
      <name val="Times New Roman"/>
      <family val="1"/>
      <charset val="204"/>
    </font>
    <font>
      <sz val="11"/>
      <name val="Symbol"/>
      <family val="1"/>
      <charset val="2"/>
    </font>
    <font>
      <vertAlign val="subscript"/>
      <sz val="11"/>
      <name val="Times New Roman"/>
      <family val="1"/>
      <charset val="204"/>
    </font>
    <font>
      <i/>
      <sz val="11"/>
      <name val="Times New Roman"/>
      <family val="1"/>
      <charset val="204"/>
    </font>
    <font>
      <b/>
      <sz val="18"/>
      <color indexed="57"/>
      <name val="Arial Cyr"/>
      <charset val="204"/>
    </font>
    <font>
      <b/>
      <sz val="8"/>
      <name val="Tahoma"/>
      <family val="2"/>
      <charset val="204"/>
    </font>
    <font>
      <sz val="8"/>
      <name val="Tahoma"/>
      <family val="2"/>
      <charset val="204"/>
    </font>
    <font>
      <b/>
      <sz val="8"/>
      <color indexed="12"/>
      <name val="Tahoma"/>
      <family val="2"/>
      <charset val="204"/>
    </font>
    <font>
      <sz val="7"/>
      <name val="Tahoma"/>
      <family val="2"/>
      <charset val="204"/>
    </font>
    <font>
      <b/>
      <i/>
      <sz val="8"/>
      <color indexed="61"/>
      <name val="Verdana"/>
      <family val="2"/>
      <charset val="204"/>
    </font>
    <font>
      <sz val="8"/>
      <color indexed="8"/>
      <name val="Verdana"/>
      <family val="2"/>
      <charset val="204"/>
    </font>
    <font>
      <b/>
      <sz val="8"/>
      <color indexed="8"/>
      <name val="Verdana"/>
      <family val="2"/>
      <charset val="204"/>
    </font>
    <font>
      <b/>
      <sz val="8"/>
      <color indexed="18"/>
      <name val="Verdana"/>
      <family val="2"/>
      <charset val="204"/>
    </font>
    <font>
      <b/>
      <sz val="8"/>
      <name val="Verdana"/>
      <family val="2"/>
      <charset val="204"/>
    </font>
    <font>
      <sz val="7.5"/>
      <name val="Verdana"/>
      <family val="2"/>
      <charset val="204"/>
    </font>
    <font>
      <b/>
      <sz val="7.5"/>
      <name val="Verdana"/>
      <family val="2"/>
      <charset val="204"/>
    </font>
    <font>
      <b/>
      <sz val="8"/>
      <color indexed="10"/>
      <name val="Verdana"/>
      <family val="2"/>
      <charset val="204"/>
    </font>
    <font>
      <sz val="8"/>
      <color indexed="18"/>
      <name val="Verdana"/>
      <family val="2"/>
      <charset val="204"/>
    </font>
    <font>
      <b/>
      <sz val="8"/>
      <name val="Arial Cyr"/>
      <charset val="204"/>
    </font>
    <font>
      <u/>
      <sz val="10"/>
      <color theme="10"/>
      <name val="Arial Cyr"/>
      <charset val="204"/>
    </font>
  </fonts>
  <fills count="2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505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Protection="1">
      <protection hidden="1"/>
    </xf>
    <xf numFmtId="0" fontId="0" fillId="3" borderId="1" xfId="0" applyFill="1" applyBorder="1" applyAlignment="1" applyProtection="1">
      <alignment horizontal="center" vertical="center" wrapText="1"/>
      <protection hidden="1"/>
    </xf>
    <xf numFmtId="0" fontId="1" fillId="3" borderId="1" xfId="0" applyFont="1" applyFill="1" applyBorder="1" applyAlignment="1" applyProtection="1">
      <alignment horizontal="center" vertical="center" wrapText="1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0" xfId="0" applyFill="1"/>
    <xf numFmtId="0" fontId="0" fillId="3" borderId="0" xfId="0" applyFill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/>
    <xf numFmtId="0" fontId="0" fillId="4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 applyProtection="1">
      <alignment horizontal="center"/>
      <protection locked="0"/>
    </xf>
    <xf numFmtId="168" fontId="3" fillId="5" borderId="3" xfId="0" applyNumberFormat="1" applyFont="1" applyFill="1" applyBorder="1" applyAlignment="1">
      <alignment horizontal="center" vertical="center"/>
    </xf>
    <xf numFmtId="0" fontId="3" fillId="3" borderId="0" xfId="0" applyFont="1" applyFill="1"/>
    <xf numFmtId="0" fontId="0" fillId="0" borderId="4" xfId="0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6" xfId="0" applyFill="1" applyBorder="1" applyAlignment="1">
      <alignment vertical="center"/>
    </xf>
    <xf numFmtId="0" fontId="0" fillId="5" borderId="7" xfId="0" applyFill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10" xfId="0" applyFill="1" applyBorder="1" applyAlignment="1">
      <alignment vertical="center"/>
    </xf>
    <xf numFmtId="0" fontId="0" fillId="5" borderId="11" xfId="0" applyFill="1" applyBorder="1" applyAlignment="1">
      <alignment vertical="center"/>
    </xf>
    <xf numFmtId="0" fontId="0" fillId="6" borderId="6" xfId="0" applyFill="1" applyBorder="1"/>
    <xf numFmtId="0" fontId="0" fillId="6" borderId="8" xfId="0" applyFill="1" applyBorder="1"/>
    <xf numFmtId="0" fontId="0" fillId="6" borderId="10" xfId="0" applyFill="1" applyBorder="1"/>
    <xf numFmtId="0" fontId="0" fillId="6" borderId="7" xfId="0" applyFill="1" applyBorder="1"/>
    <xf numFmtId="0" fontId="0" fillId="6" borderId="9" xfId="0" applyFill="1" applyBorder="1"/>
    <xf numFmtId="0" fontId="0" fillId="6" borderId="11" xfId="0" applyFill="1" applyBorder="1"/>
    <xf numFmtId="0" fontId="0" fillId="7" borderId="6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9" xfId="0" applyFill="1" applyBorder="1"/>
    <xf numFmtId="0" fontId="0" fillId="7" borderId="11" xfId="0" applyFill="1" applyBorder="1"/>
    <xf numFmtId="0" fontId="0" fillId="3" borderId="12" xfId="0" applyFill="1" applyBorder="1" applyAlignment="1" applyProtection="1">
      <alignment vertical="center"/>
      <protection locked="0"/>
    </xf>
    <xf numFmtId="0" fontId="0" fillId="3" borderId="1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/>
      <protection locked="0"/>
    </xf>
    <xf numFmtId="1" fontId="3" fillId="3" borderId="0" xfId="0" applyNumberFormat="1" applyFont="1" applyFill="1" applyAlignment="1">
      <alignment horizontal="left"/>
    </xf>
    <xf numFmtId="2" fontId="3" fillId="3" borderId="0" xfId="0" applyNumberFormat="1" applyFont="1" applyFill="1" applyAlignment="1">
      <alignment horizontal="left"/>
    </xf>
    <xf numFmtId="168" fontId="3" fillId="3" borderId="0" xfId="0" applyNumberFormat="1" applyFont="1" applyFill="1" applyAlignment="1">
      <alignment horizontal="left"/>
    </xf>
    <xf numFmtId="0" fontId="0" fillId="3" borderId="1" xfId="0" applyFill="1" applyBorder="1" applyAlignment="1">
      <alignment horizontal="center" vertical="center"/>
    </xf>
    <xf numFmtId="170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8" fontId="0" fillId="3" borderId="1" xfId="0" applyNumberForma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9" fontId="0" fillId="3" borderId="1" xfId="0" applyNumberForma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8" fontId="0" fillId="3" borderId="9" xfId="0" applyNumberForma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70" fontId="0" fillId="3" borderId="13" xfId="0" applyNumberFormat="1" applyFill="1" applyBorder="1" applyAlignment="1">
      <alignment horizontal="center" vertical="center"/>
    </xf>
    <xf numFmtId="2" fontId="0" fillId="3" borderId="13" xfId="0" applyNumberFormat="1" applyFill="1" applyBorder="1" applyAlignment="1">
      <alignment horizontal="center" vertical="center"/>
    </xf>
    <xf numFmtId="168" fontId="0" fillId="3" borderId="13" xfId="0" applyNumberFormat="1" applyFill="1" applyBorder="1" applyAlignment="1">
      <alignment horizontal="center" vertical="center"/>
    </xf>
    <xf numFmtId="166" fontId="0" fillId="3" borderId="13" xfId="0" applyNumberFormat="1" applyFill="1" applyBorder="1" applyAlignment="1">
      <alignment horizontal="center" vertical="center"/>
    </xf>
    <xf numFmtId="164" fontId="0" fillId="3" borderId="13" xfId="0" applyNumberFormat="1" applyFill="1" applyBorder="1" applyAlignment="1">
      <alignment horizontal="center" vertical="center"/>
    </xf>
    <xf numFmtId="169" fontId="0" fillId="3" borderId="13" xfId="0" applyNumberFormat="1" applyFill="1" applyBorder="1" applyAlignment="1">
      <alignment horizontal="center" vertical="center"/>
    </xf>
    <xf numFmtId="168" fontId="0" fillId="3" borderId="11" xfId="0" applyNumberForma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wrapText="1"/>
    </xf>
    <xf numFmtId="0" fontId="0" fillId="3" borderId="14" xfId="0" applyFill="1" applyBorder="1" applyAlignment="1">
      <alignment wrapText="1"/>
    </xf>
    <xf numFmtId="0" fontId="0" fillId="3" borderId="15" xfId="0" applyFill="1" applyBorder="1" applyAlignment="1">
      <alignment wrapText="1"/>
    </xf>
    <xf numFmtId="0" fontId="0" fillId="3" borderId="16" xfId="0" applyFill="1" applyBorder="1" applyAlignment="1">
      <alignment wrapText="1"/>
    </xf>
    <xf numFmtId="168" fontId="0" fillId="3" borderId="1" xfId="0" applyNumberFormat="1" applyFill="1" applyBorder="1" applyAlignment="1">
      <alignment horizontal="center" vertical="center" wrapText="1"/>
    </xf>
    <xf numFmtId="168" fontId="0" fillId="3" borderId="9" xfId="0" applyNumberFormat="1" applyFill="1" applyBorder="1" applyAlignment="1">
      <alignment horizontal="center" vertical="center" wrapText="1"/>
    </xf>
    <xf numFmtId="168" fontId="0" fillId="3" borderId="13" xfId="0" applyNumberFormat="1" applyFill="1" applyBorder="1" applyAlignment="1">
      <alignment horizontal="center" vertical="center" wrapText="1"/>
    </xf>
    <xf numFmtId="168" fontId="0" fillId="3" borderId="11" xfId="0" applyNumberForma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0" fontId="13" fillId="9" borderId="10" xfId="0" applyFont="1" applyFill="1" applyBorder="1" applyAlignment="1">
      <alignment horizontal="center" vertical="center" wrapText="1"/>
    </xf>
    <xf numFmtId="0" fontId="13" fillId="9" borderId="13" xfId="0" applyFont="1" applyFill="1" applyBorder="1" applyAlignment="1">
      <alignment horizontal="center" vertical="center" wrapText="1"/>
    </xf>
    <xf numFmtId="0" fontId="13" fillId="9" borderId="11" xfId="0" applyFont="1" applyFill="1" applyBorder="1" applyAlignment="1">
      <alignment horizontal="center" vertical="center" wrapText="1"/>
    </xf>
    <xf numFmtId="0" fontId="13" fillId="3" borderId="0" xfId="0" applyFont="1" applyFill="1"/>
    <xf numFmtId="0" fontId="3" fillId="10" borderId="6" xfId="0" applyFont="1" applyFill="1" applyBorder="1" applyAlignment="1">
      <alignment horizontal="center" vertical="center" wrapText="1"/>
    </xf>
    <xf numFmtId="0" fontId="3" fillId="10" borderId="8" xfId="0" applyFont="1" applyFill="1" applyBorder="1" applyAlignment="1">
      <alignment horizontal="center" vertical="center" wrapText="1"/>
    </xf>
    <xf numFmtId="0" fontId="3" fillId="10" borderId="10" xfId="0" applyFont="1" applyFill="1" applyBorder="1" applyAlignment="1">
      <alignment horizontal="center" vertical="center" wrapText="1"/>
    </xf>
    <xf numFmtId="168" fontId="0" fillId="3" borderId="0" xfId="0" applyNumberFormat="1" applyFill="1" applyBorder="1" applyAlignment="1">
      <alignment horizontal="center" vertical="center"/>
    </xf>
    <xf numFmtId="168" fontId="0" fillId="3" borderId="18" xfId="0" applyNumberFormat="1" applyFill="1" applyBorder="1" applyAlignment="1">
      <alignment horizontal="center" vertical="center" wrapText="1"/>
    </xf>
    <xf numFmtId="168" fontId="0" fillId="3" borderId="19" xfId="0" applyNumberFormat="1" applyFill="1" applyBorder="1" applyAlignment="1">
      <alignment horizontal="center" vertical="center" wrapText="1"/>
    </xf>
    <xf numFmtId="168" fontId="0" fillId="3" borderId="20" xfId="0" applyNumberFormat="1" applyFill="1" applyBorder="1" applyAlignment="1">
      <alignment horizontal="center" vertical="center" wrapText="1"/>
    </xf>
    <xf numFmtId="168" fontId="0" fillId="3" borderId="21" xfId="0" applyNumberFormat="1" applyFill="1" applyBorder="1" applyAlignment="1">
      <alignment horizontal="center" vertical="center" wrapText="1"/>
    </xf>
    <xf numFmtId="168" fontId="0" fillId="3" borderId="22" xfId="0" applyNumberFormat="1" applyFill="1" applyBorder="1" applyAlignment="1">
      <alignment horizontal="center" vertical="center" wrapText="1"/>
    </xf>
    <xf numFmtId="168" fontId="0" fillId="3" borderId="23" xfId="0" applyNumberForma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vertical="center"/>
    </xf>
    <xf numFmtId="2" fontId="14" fillId="3" borderId="1" xfId="0" applyNumberFormat="1" applyFont="1" applyFill="1" applyBorder="1" applyAlignment="1">
      <alignment horizontal="center" vertical="center"/>
    </xf>
    <xf numFmtId="2" fontId="14" fillId="3" borderId="9" xfId="0" applyNumberFormat="1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vertical="center"/>
    </xf>
    <xf numFmtId="0" fontId="14" fillId="3" borderId="13" xfId="0" applyFont="1" applyFill="1" applyBorder="1" applyAlignment="1">
      <alignment horizontal="center" vertical="center"/>
    </xf>
    <xf numFmtId="2" fontId="14" fillId="3" borderId="13" xfId="0" applyNumberFormat="1" applyFont="1" applyFill="1" applyBorder="1" applyAlignment="1">
      <alignment horizontal="center" vertical="center"/>
    </xf>
    <xf numFmtId="2" fontId="14" fillId="3" borderId="1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3" fillId="7" borderId="8" xfId="0" applyFont="1" applyFill="1" applyBorder="1" applyAlignment="1">
      <alignment vertical="center"/>
    </xf>
    <xf numFmtId="0" fontId="3" fillId="7" borderId="1" xfId="0" applyFont="1" applyFill="1" applyBorder="1" applyAlignment="1">
      <alignment horizontal="center" vertical="center"/>
    </xf>
    <xf numFmtId="2" fontId="3" fillId="7" borderId="1" xfId="0" applyNumberFormat="1" applyFont="1" applyFill="1" applyBorder="1" applyAlignment="1">
      <alignment horizontal="center" vertical="center"/>
    </xf>
    <xf numFmtId="2" fontId="3" fillId="7" borderId="9" xfId="0" applyNumberFormat="1" applyFont="1" applyFill="1" applyBorder="1" applyAlignment="1">
      <alignment horizontal="center" vertical="center"/>
    </xf>
    <xf numFmtId="0" fontId="0" fillId="0" borderId="8" xfId="0" applyBorder="1"/>
    <xf numFmtId="0" fontId="0" fillId="0" borderId="10" xfId="0" applyBorder="1"/>
    <xf numFmtId="0" fontId="0" fillId="2" borderId="1" xfId="0" applyFill="1" applyBorder="1" applyAlignment="1">
      <alignment horizontal="center"/>
    </xf>
    <xf numFmtId="164" fontId="0" fillId="2" borderId="1" xfId="0" applyNumberFormat="1" applyFill="1" applyBorder="1"/>
    <xf numFmtId="165" fontId="0" fillId="2" borderId="1" xfId="0" applyNumberFormat="1" applyFill="1" applyBorder="1"/>
    <xf numFmtId="166" fontId="0" fillId="2" borderId="1" xfId="0" applyNumberFormat="1" applyFill="1" applyBorder="1"/>
    <xf numFmtId="166" fontId="0" fillId="2" borderId="13" xfId="0" applyNumberFormat="1" applyFill="1" applyBorder="1"/>
    <xf numFmtId="165" fontId="0" fillId="2" borderId="13" xfId="0" applyNumberFormat="1" applyFill="1" applyBorder="1"/>
    <xf numFmtId="0" fontId="0" fillId="11" borderId="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165" fontId="0" fillId="11" borderId="1" xfId="0" applyNumberFormat="1" applyFill="1" applyBorder="1"/>
    <xf numFmtId="165" fontId="0" fillId="11" borderId="9" xfId="0" applyNumberFormat="1" applyFill="1" applyBorder="1"/>
    <xf numFmtId="165" fontId="0" fillId="11" borderId="13" xfId="0" applyNumberFormat="1" applyFill="1" applyBorder="1"/>
    <xf numFmtId="165" fontId="0" fillId="11" borderId="11" xfId="0" applyNumberFormat="1" applyFill="1" applyBorder="1"/>
    <xf numFmtId="0" fontId="3" fillId="2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1" borderId="9" xfId="0" applyFont="1" applyFill="1" applyBorder="1"/>
    <xf numFmtId="0" fontId="0" fillId="9" borderId="0" xfId="0" applyFill="1"/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9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locked="0"/>
    </xf>
    <xf numFmtId="0" fontId="0" fillId="3" borderId="13" xfId="0" applyFill="1" applyBorder="1" applyAlignment="1" applyProtection="1">
      <alignment horizontal="center" vertic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1" fontId="0" fillId="3" borderId="1" xfId="0" applyNumberFormat="1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16" fillId="12" borderId="0" xfId="0" applyFont="1" applyFill="1"/>
    <xf numFmtId="0" fontId="0" fillId="12" borderId="0" xfId="0" applyFill="1"/>
    <xf numFmtId="0" fontId="0" fillId="10" borderId="8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168" fontId="0" fillId="14" borderId="1" xfId="0" applyNumberFormat="1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25" xfId="0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9" xfId="0" applyFont="1" applyFill="1" applyBorder="1" applyAlignment="1">
      <alignment horizontal="center" vertical="center"/>
    </xf>
    <xf numFmtId="168" fontId="3" fillId="10" borderId="9" xfId="0" applyNumberFormat="1" applyFont="1" applyFill="1" applyBorder="1" applyAlignment="1">
      <alignment horizontal="center" vertical="center"/>
    </xf>
    <xf numFmtId="0" fontId="3" fillId="10" borderId="10" xfId="0" applyFont="1" applyFill="1" applyBorder="1" applyAlignment="1">
      <alignment horizontal="center" vertical="center"/>
    </xf>
    <xf numFmtId="168" fontId="3" fillId="10" borderId="11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horizontal="center" vertical="center"/>
    </xf>
    <xf numFmtId="168" fontId="3" fillId="12" borderId="9" xfId="0" applyNumberFormat="1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/>
    </xf>
    <xf numFmtId="168" fontId="3" fillId="12" borderId="11" xfId="0" applyNumberFormat="1" applyFont="1" applyFill="1" applyBorder="1" applyAlignment="1">
      <alignment horizontal="center" vertical="center"/>
    </xf>
    <xf numFmtId="0" fontId="0" fillId="14" borderId="13" xfId="0" applyFill="1" applyBorder="1" applyAlignment="1">
      <alignment horizontal="center" vertical="center"/>
    </xf>
    <xf numFmtId="168" fontId="0" fillId="14" borderId="13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168" fontId="0" fillId="15" borderId="9" xfId="0" applyNumberFormat="1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168" fontId="0" fillId="15" borderId="11" xfId="0" applyNumberForma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6" fillId="16" borderId="8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170" fontId="0" fillId="3" borderId="9" xfId="0" applyNumberForma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right" vertical="center"/>
    </xf>
    <xf numFmtId="0" fontId="0" fillId="3" borderId="1" xfId="0" applyFill="1" applyBorder="1" applyAlignment="1">
      <alignment vertical="center"/>
    </xf>
    <xf numFmtId="0" fontId="0" fillId="5" borderId="0" xfId="0" applyFill="1"/>
    <xf numFmtId="0" fontId="14" fillId="17" borderId="12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9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2" borderId="5" xfId="0" applyFill="1" applyBorder="1" applyAlignment="1">
      <alignment horizontal="center" vertical="center" wrapText="1"/>
    </xf>
    <xf numFmtId="170" fontId="0" fillId="2" borderId="1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0" fillId="0" borderId="15" xfId="0" applyBorder="1"/>
    <xf numFmtId="0" fontId="12" fillId="0" borderId="0" xfId="0" applyFont="1"/>
    <xf numFmtId="0" fontId="21" fillId="0" borderId="0" xfId="0" applyFont="1"/>
    <xf numFmtId="0" fontId="3" fillId="5" borderId="0" xfId="0" applyFont="1" applyFill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168" fontId="0" fillId="0" borderId="1" xfId="0" applyNumberFormat="1" applyBorder="1" applyAlignment="1" applyProtection="1">
      <alignment horizontal="center" vertical="center" wrapText="1"/>
      <protection locked="0"/>
    </xf>
    <xf numFmtId="168" fontId="0" fillId="0" borderId="0" xfId="0" applyNumberFormat="1" applyFill="1" applyBorder="1" applyAlignment="1" applyProtection="1">
      <alignment horizontal="center" vertical="center" wrapText="1"/>
      <protection locked="0"/>
    </xf>
    <xf numFmtId="168" fontId="0" fillId="0" borderId="0" xfId="0" applyNumberFormat="1"/>
    <xf numFmtId="0" fontId="0" fillId="0" borderId="0" xfId="0" applyAlignment="1">
      <alignment horizontal="right"/>
    </xf>
    <xf numFmtId="0" fontId="24" fillId="0" borderId="0" xfId="0" applyFont="1"/>
    <xf numFmtId="0" fontId="23" fillId="0" borderId="0" xfId="0" applyFont="1" applyAlignment="1">
      <alignment horizontal="right" vertical="center"/>
    </xf>
    <xf numFmtId="0" fontId="0" fillId="0" borderId="4" xfId="0" applyBorder="1" applyAlignment="1">
      <alignment horizontal="center" vertical="center" wrapText="1"/>
    </xf>
    <xf numFmtId="0" fontId="14" fillId="0" borderId="15" xfId="0" applyFont="1" applyBorder="1" applyAlignment="1">
      <alignment horizontal="center"/>
    </xf>
    <xf numFmtId="0" fontId="24" fillId="0" borderId="0" xfId="0" applyFont="1" applyAlignment="1">
      <alignment horizontal="center"/>
    </xf>
    <xf numFmtId="2" fontId="0" fillId="0" borderId="0" xfId="0" applyNumberFormat="1"/>
    <xf numFmtId="170" fontId="0" fillId="0" borderId="0" xfId="0" applyNumberFormat="1"/>
    <xf numFmtId="170" fontId="0" fillId="0" borderId="0" xfId="0" applyNumberFormat="1" applyAlignment="1">
      <alignment horizontal="center"/>
    </xf>
    <xf numFmtId="0" fontId="25" fillId="0" borderId="0" xfId="0" applyFont="1"/>
    <xf numFmtId="0" fontId="11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11" fillId="0" borderId="0" xfId="0" applyFont="1" applyAlignment="1">
      <alignment horizontal="right"/>
    </xf>
    <xf numFmtId="2" fontId="0" fillId="0" borderId="0" xfId="0" applyNumberFormat="1" applyAlignment="1">
      <alignment horizontal="left"/>
    </xf>
    <xf numFmtId="0" fontId="0" fillId="0" borderId="4" xfId="0" applyBorder="1" applyAlignment="1" applyProtection="1">
      <alignment horizontal="center" vertical="center" wrapText="1"/>
      <protection hidden="1"/>
    </xf>
    <xf numFmtId="0" fontId="11" fillId="0" borderId="0" xfId="0" applyFont="1" applyAlignment="1">
      <alignment horizontal="left" indent="3"/>
    </xf>
    <xf numFmtId="0" fontId="11" fillId="0" borderId="0" xfId="0" applyFont="1" applyAlignment="1">
      <alignment horizontal="left" indent="4"/>
    </xf>
    <xf numFmtId="0" fontId="12" fillId="0" borderId="0" xfId="0" applyFont="1" applyAlignment="1">
      <alignment horizontal="right"/>
    </xf>
    <xf numFmtId="1" fontId="11" fillId="0" borderId="0" xfId="0" applyNumberFormat="1" applyFont="1" applyAlignment="1">
      <alignment horizontal="left" indent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0" xfId="0" applyFill="1" applyProtection="1">
      <protection locked="0"/>
    </xf>
    <xf numFmtId="0" fontId="0" fillId="5" borderId="4" xfId="0" applyFill="1" applyBorder="1" applyAlignment="1" applyProtection="1">
      <alignment horizontal="center" vertical="center" wrapText="1"/>
      <protection locked="0"/>
    </xf>
    <xf numFmtId="0" fontId="0" fillId="5" borderId="0" xfId="0" applyFill="1" applyAlignment="1" applyProtection="1">
      <alignment horizontal="center"/>
      <protection locked="0"/>
    </xf>
    <xf numFmtId="0" fontId="2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15" xfId="0" applyBorder="1" applyAlignment="1">
      <alignment horizontal="left"/>
    </xf>
    <xf numFmtId="170" fontId="0" fillId="0" borderId="0" xfId="0" applyNumberFormat="1" applyAlignment="1">
      <alignment horizontal="left" indent="1"/>
    </xf>
    <xf numFmtId="0" fontId="0" fillId="0" borderId="4" xfId="0" applyFill="1" applyBorder="1" applyAlignment="1" applyProtection="1">
      <alignment horizontal="center" vertical="center" wrapText="1"/>
      <protection hidden="1"/>
    </xf>
    <xf numFmtId="0" fontId="30" fillId="10" borderId="8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 wrapText="1"/>
    </xf>
    <xf numFmtId="0" fontId="30" fillId="10" borderId="1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2" fillId="0" borderId="26" xfId="0" applyFont="1" applyBorder="1" applyAlignment="1">
      <alignment horizontal="center" vertical="top" wrapText="1"/>
    </xf>
    <xf numFmtId="0" fontId="32" fillId="0" borderId="27" xfId="0" applyFont="1" applyBorder="1" applyAlignment="1">
      <alignment horizontal="center" vertical="top" wrapText="1"/>
    </xf>
    <xf numFmtId="0" fontId="32" fillId="0" borderId="28" xfId="0" applyFont="1" applyBorder="1" applyAlignment="1">
      <alignment horizontal="center" vertical="top" wrapText="1"/>
    </xf>
    <xf numFmtId="0" fontId="33" fillId="14" borderId="29" xfId="0" applyFont="1" applyFill="1" applyBorder="1" applyAlignment="1">
      <alignment horizontal="center" vertical="top" wrapText="1"/>
    </xf>
    <xf numFmtId="0" fontId="33" fillId="14" borderId="0" xfId="0" applyFont="1" applyFill="1" applyBorder="1" applyAlignment="1">
      <alignment horizontal="center" vertical="top" wrapText="1"/>
    </xf>
    <xf numFmtId="0" fontId="0" fillId="0" borderId="28" xfId="0" applyBorder="1" applyAlignment="1">
      <alignment vertical="top" wrapText="1"/>
    </xf>
    <xf numFmtId="0" fontId="30" fillId="14" borderId="0" xfId="0" applyFont="1" applyFill="1" applyBorder="1" applyAlignment="1">
      <alignment vertical="top" wrapText="1"/>
    </xf>
    <xf numFmtId="0" fontId="0" fillId="0" borderId="30" xfId="0" applyBorder="1" applyAlignment="1">
      <alignment vertical="top" wrapText="1"/>
    </xf>
    <xf numFmtId="0" fontId="30" fillId="14" borderId="31" xfId="0" applyFont="1" applyFill="1" applyBorder="1" applyAlignment="1">
      <alignment vertical="top" wrapText="1"/>
    </xf>
    <xf numFmtId="0" fontId="39" fillId="0" borderId="32" xfId="0" applyFont="1" applyBorder="1" applyAlignment="1">
      <alignment horizontal="center" vertical="top" wrapText="1"/>
    </xf>
    <xf numFmtId="0" fontId="39" fillId="0" borderId="30" xfId="0" applyFont="1" applyBorder="1" applyAlignment="1">
      <alignment horizontal="center" vertical="top" wrapText="1"/>
    </xf>
    <xf numFmtId="0" fontId="39" fillId="0" borderId="33" xfId="0" applyFont="1" applyBorder="1" applyAlignment="1">
      <alignment horizontal="center" vertical="top" wrapText="1"/>
    </xf>
    <xf numFmtId="0" fontId="40" fillId="14" borderId="30" xfId="0" applyFont="1" applyFill="1" applyBorder="1" applyAlignment="1">
      <alignment horizontal="center" vertical="top" wrapText="1"/>
    </xf>
    <xf numFmtId="0" fontId="39" fillId="0" borderId="30" xfId="0" applyFont="1" applyBorder="1" applyAlignment="1">
      <alignment horizontal="justify" vertical="top" wrapText="1"/>
    </xf>
    <xf numFmtId="168" fontId="40" fillId="14" borderId="30" xfId="0" applyNumberFormat="1" applyFont="1" applyFill="1" applyBorder="1" applyAlignment="1">
      <alignment horizontal="center" vertical="top" wrapText="1"/>
    </xf>
    <xf numFmtId="0" fontId="39" fillId="0" borderId="34" xfId="0" applyFont="1" applyBorder="1" applyAlignment="1">
      <alignment horizontal="center" vertical="top" wrapText="1"/>
    </xf>
    <xf numFmtId="0" fontId="39" fillId="0" borderId="28" xfId="0" applyFont="1" applyBorder="1" applyAlignment="1">
      <alignment horizontal="justify" vertical="top" wrapText="1"/>
    </xf>
    <xf numFmtId="0" fontId="39" fillId="0" borderId="28" xfId="0" applyFont="1" applyBorder="1" applyAlignment="1">
      <alignment horizontal="center" vertical="top" wrapText="1"/>
    </xf>
    <xf numFmtId="0" fontId="40" fillId="14" borderId="28" xfId="0" applyFont="1" applyFill="1" applyBorder="1" applyAlignment="1">
      <alignment horizontal="center" vertical="top" wrapText="1"/>
    </xf>
    <xf numFmtId="0" fontId="39" fillId="0" borderId="35" xfId="0" applyFont="1" applyBorder="1" applyAlignment="1">
      <alignment horizontal="center" vertical="top" wrapText="1"/>
    </xf>
    <xf numFmtId="0" fontId="39" fillId="0" borderId="33" xfId="0" applyFont="1" applyBorder="1" applyAlignment="1">
      <alignment horizontal="justify" vertical="top" wrapText="1"/>
    </xf>
    <xf numFmtId="0" fontId="40" fillId="14" borderId="33" xfId="0" applyFont="1" applyFill="1" applyBorder="1" applyAlignment="1">
      <alignment horizontal="center" vertical="top" wrapText="1"/>
    </xf>
    <xf numFmtId="168" fontId="40" fillId="0" borderId="30" xfId="0" applyNumberFormat="1" applyFont="1" applyBorder="1" applyAlignment="1">
      <alignment horizontal="center" vertical="top" wrapText="1"/>
    </xf>
    <xf numFmtId="0" fontId="40" fillId="0" borderId="32" xfId="0" applyFont="1" applyBorder="1" applyAlignment="1">
      <alignment horizontal="center" vertical="top" wrapText="1"/>
    </xf>
    <xf numFmtId="0" fontId="40" fillId="0" borderId="30" xfId="0" applyFont="1" applyBorder="1" applyAlignment="1">
      <alignment horizontal="center" vertical="top" wrapText="1"/>
    </xf>
    <xf numFmtId="0" fontId="40" fillId="14" borderId="32" xfId="0" applyFont="1" applyFill="1" applyBorder="1" applyAlignment="1">
      <alignment horizontal="center" vertical="top" wrapText="1"/>
    </xf>
    <xf numFmtId="1" fontId="40" fillId="14" borderId="30" xfId="0" applyNumberFormat="1" applyFont="1" applyFill="1" applyBorder="1" applyAlignment="1">
      <alignment horizontal="center" vertical="top" wrapText="1"/>
    </xf>
    <xf numFmtId="0" fontId="42" fillId="0" borderId="0" xfId="0" applyFont="1" applyAlignment="1">
      <alignment horizontal="justify"/>
    </xf>
    <xf numFmtId="0" fontId="32" fillId="0" borderId="0" xfId="0" applyFont="1" applyAlignment="1">
      <alignment horizontal="center"/>
    </xf>
    <xf numFmtId="0" fontId="42" fillId="0" borderId="0" xfId="0" applyFont="1"/>
    <xf numFmtId="0" fontId="47" fillId="0" borderId="1" xfId="0" applyFont="1" applyFill="1" applyBorder="1" applyAlignment="1">
      <alignment horizontal="center" vertical="center" wrapText="1"/>
    </xf>
    <xf numFmtId="0" fontId="48" fillId="0" borderId="1" xfId="0" applyFont="1" applyFill="1" applyBorder="1" applyAlignment="1">
      <alignment horizontal="center" wrapText="1"/>
    </xf>
    <xf numFmtId="0" fontId="48" fillId="0" borderId="1" xfId="0" applyFont="1" applyFill="1" applyBorder="1" applyAlignment="1">
      <alignment wrapText="1"/>
    </xf>
    <xf numFmtId="0" fontId="49" fillId="0" borderId="1" xfId="0" applyFont="1" applyFill="1" applyBorder="1" applyAlignment="1">
      <alignment horizontal="center" wrapText="1"/>
    </xf>
    <xf numFmtId="168" fontId="49" fillId="0" borderId="1" xfId="0" applyNumberFormat="1" applyFont="1" applyFill="1" applyBorder="1" applyAlignment="1">
      <alignment horizontal="center" wrapText="1"/>
    </xf>
    <xf numFmtId="0" fontId="48" fillId="0" borderId="5" xfId="0" applyFont="1" applyFill="1" applyBorder="1" applyAlignment="1">
      <alignment wrapText="1"/>
    </xf>
    <xf numFmtId="0" fontId="48" fillId="0" borderId="17" xfId="0" applyFont="1" applyFill="1" applyBorder="1" applyAlignment="1">
      <alignment wrapText="1"/>
    </xf>
    <xf numFmtId="0" fontId="48" fillId="0" borderId="1" xfId="0" applyFont="1" applyFill="1" applyBorder="1" applyAlignment="1">
      <alignment vertical="top" wrapText="1"/>
    </xf>
    <xf numFmtId="0" fontId="48" fillId="0" borderId="1" xfId="0" applyFont="1" applyFill="1" applyBorder="1" applyAlignment="1">
      <alignment horizontal="center" vertical="top" wrapText="1"/>
    </xf>
    <xf numFmtId="0" fontId="30" fillId="18" borderId="0" xfId="0" applyFont="1" applyFill="1"/>
    <xf numFmtId="0" fontId="30" fillId="18" borderId="0" xfId="0" applyFont="1" applyFill="1" applyAlignment="1">
      <alignment horizontal="center"/>
    </xf>
    <xf numFmtId="0" fontId="30" fillId="18" borderId="0" xfId="0" applyFont="1" applyFill="1" applyAlignment="1">
      <alignment horizontal="right"/>
    </xf>
    <xf numFmtId="0" fontId="54" fillId="3" borderId="1" xfId="0" applyFont="1" applyFill="1" applyBorder="1" applyAlignment="1">
      <alignment horizontal="center" wrapText="1"/>
    </xf>
    <xf numFmtId="0" fontId="55" fillId="3" borderId="1" xfId="0" applyFont="1" applyFill="1" applyBorder="1" applyAlignment="1">
      <alignment wrapText="1"/>
    </xf>
    <xf numFmtId="0" fontId="55" fillId="3" borderId="1" xfId="0" applyFont="1" applyFill="1" applyBorder="1" applyAlignment="1">
      <alignment horizontal="center" wrapText="1"/>
    </xf>
    <xf numFmtId="0" fontId="56" fillId="0" borderId="36" xfId="0" applyFont="1" applyBorder="1" applyAlignment="1">
      <alignment wrapText="1"/>
    </xf>
    <xf numFmtId="0" fontId="56" fillId="0" borderId="0" xfId="0" applyFont="1" applyAlignment="1">
      <alignment wrapText="1"/>
    </xf>
    <xf numFmtId="0" fontId="58" fillId="0" borderId="0" xfId="0" applyFont="1" applyAlignment="1">
      <alignment wrapText="1"/>
    </xf>
    <xf numFmtId="0" fontId="30" fillId="2" borderId="8" xfId="0" applyFont="1" applyFill="1" applyBorder="1" applyAlignment="1">
      <alignment horizontal="left" vertical="center" indent="1"/>
    </xf>
    <xf numFmtId="0" fontId="30" fillId="2" borderId="10" xfId="0" applyFont="1" applyFill="1" applyBorder="1" applyAlignment="1">
      <alignment horizontal="left" vertical="center" indent="1"/>
    </xf>
    <xf numFmtId="168" fontId="30" fillId="3" borderId="1" xfId="0" applyNumberFormat="1" applyFont="1" applyFill="1" applyBorder="1" applyAlignment="1">
      <alignment horizontal="center" vertical="center"/>
    </xf>
    <xf numFmtId="168" fontId="30" fillId="3" borderId="9" xfId="0" applyNumberFormat="1" applyFont="1" applyFill="1" applyBorder="1" applyAlignment="1">
      <alignment horizontal="center" vertical="center"/>
    </xf>
    <xf numFmtId="168" fontId="30" fillId="3" borderId="13" xfId="0" applyNumberFormat="1" applyFont="1" applyFill="1" applyBorder="1" applyAlignment="1">
      <alignment horizontal="center" vertical="center"/>
    </xf>
    <xf numFmtId="168" fontId="30" fillId="3" borderId="11" xfId="0" applyNumberFormat="1" applyFont="1" applyFill="1" applyBorder="1" applyAlignment="1">
      <alignment horizontal="center" vertical="center"/>
    </xf>
    <xf numFmtId="0" fontId="30" fillId="10" borderId="4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30" fillId="10" borderId="25" xfId="0" applyFont="1" applyFill="1" applyBorder="1" applyAlignment="1">
      <alignment horizontal="center" vertical="center"/>
    </xf>
    <xf numFmtId="0" fontId="14" fillId="3" borderId="0" xfId="0" applyFont="1" applyFill="1"/>
    <xf numFmtId="0" fontId="0" fillId="3" borderId="0" xfId="0" applyFont="1" applyFill="1" applyBorder="1" applyAlignment="1">
      <alignment horizontal="left" vertical="center"/>
    </xf>
    <xf numFmtId="0" fontId="14" fillId="3" borderId="1" xfId="0" applyFont="1" applyFill="1" applyBorder="1" applyProtection="1">
      <protection locked="0"/>
    </xf>
    <xf numFmtId="2" fontId="0" fillId="0" borderId="0" xfId="0" applyNumberFormat="1" applyAlignment="1">
      <alignment horizontal="center"/>
    </xf>
    <xf numFmtId="0" fontId="3" fillId="5" borderId="12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10" borderId="12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3" fillId="10" borderId="7" xfId="0" applyFont="1" applyFill="1" applyBorder="1" applyAlignment="1">
      <alignment horizontal="center" vertical="center" wrapText="1"/>
    </xf>
    <xf numFmtId="0" fontId="3" fillId="10" borderId="9" xfId="0" applyFont="1" applyFill="1" applyBorder="1" applyAlignment="1">
      <alignment horizontal="center" vertical="center" wrapText="1"/>
    </xf>
    <xf numFmtId="168" fontId="1" fillId="6" borderId="39" xfId="0" applyNumberFormat="1" applyFont="1" applyFill="1" applyBorder="1" applyAlignment="1">
      <alignment horizontal="center" vertical="center" wrapText="1"/>
    </xf>
    <xf numFmtId="168" fontId="12" fillId="6" borderId="40" xfId="0" applyNumberFormat="1" applyFont="1" applyFill="1" applyBorder="1" applyAlignment="1">
      <alignment horizontal="center" vertical="center" wrapText="1"/>
    </xf>
    <xf numFmtId="168" fontId="12" fillId="6" borderId="41" xfId="0" applyNumberFormat="1" applyFont="1" applyFill="1" applyBorder="1" applyAlignment="1">
      <alignment horizontal="center" vertical="center" wrapText="1"/>
    </xf>
    <xf numFmtId="168" fontId="12" fillId="6" borderId="42" xfId="0" applyNumberFormat="1" applyFont="1" applyFill="1" applyBorder="1" applyAlignment="1">
      <alignment horizontal="center" vertical="center" wrapText="1"/>
    </xf>
    <xf numFmtId="168" fontId="12" fillId="6" borderId="43" xfId="0" applyNumberFormat="1" applyFont="1" applyFill="1" applyBorder="1" applyAlignment="1">
      <alignment horizontal="center" vertical="center" wrapText="1"/>
    </xf>
    <xf numFmtId="168" fontId="12" fillId="6" borderId="44" xfId="0" applyNumberFormat="1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/>
    </xf>
    <xf numFmtId="0" fontId="1" fillId="2" borderId="46" xfId="0" applyFont="1" applyFill="1" applyBorder="1" applyAlignment="1">
      <alignment horizontal="center" vertical="center"/>
    </xf>
    <xf numFmtId="168" fontId="1" fillId="18" borderId="39" xfId="0" applyNumberFormat="1" applyFont="1" applyFill="1" applyBorder="1" applyAlignment="1">
      <alignment horizontal="center" vertical="center" wrapText="1"/>
    </xf>
    <xf numFmtId="168" fontId="12" fillId="18" borderId="40" xfId="0" applyNumberFormat="1" applyFont="1" applyFill="1" applyBorder="1" applyAlignment="1">
      <alignment horizontal="center" vertical="center" wrapText="1"/>
    </xf>
    <xf numFmtId="168" fontId="12" fillId="18" borderId="41" xfId="0" applyNumberFormat="1" applyFont="1" applyFill="1" applyBorder="1" applyAlignment="1">
      <alignment horizontal="center" vertical="center" wrapText="1"/>
    </xf>
    <xf numFmtId="168" fontId="12" fillId="18" borderId="42" xfId="0" applyNumberFormat="1" applyFont="1" applyFill="1" applyBorder="1" applyAlignment="1">
      <alignment horizontal="center" vertical="center" wrapText="1"/>
    </xf>
    <xf numFmtId="168" fontId="12" fillId="18" borderId="43" xfId="0" applyNumberFormat="1" applyFont="1" applyFill="1" applyBorder="1" applyAlignment="1">
      <alignment horizontal="center" vertical="center" wrapText="1"/>
    </xf>
    <xf numFmtId="168" fontId="12" fillId="18" borderId="44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/>
    </xf>
    <xf numFmtId="0" fontId="3" fillId="11" borderId="9" xfId="0" applyFont="1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3" fillId="5" borderId="47" xfId="0" applyFont="1" applyFill="1" applyBorder="1" applyAlignment="1">
      <alignment horizontal="center"/>
    </xf>
    <xf numFmtId="0" fontId="3" fillId="5" borderId="37" xfId="0" applyFont="1" applyFill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7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 wrapText="1"/>
      <protection hidden="1"/>
    </xf>
    <xf numFmtId="0" fontId="30" fillId="10" borderId="6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12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" fillId="10" borderId="6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 wrapText="1"/>
    </xf>
    <xf numFmtId="0" fontId="0" fillId="17" borderId="8" xfId="0" applyFill="1" applyBorder="1" applyAlignment="1">
      <alignment horizontal="center" vertical="center" wrapText="1"/>
    </xf>
    <xf numFmtId="0" fontId="0" fillId="17" borderId="12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14" fillId="17" borderId="12" xfId="0" applyFont="1" applyFill="1" applyBorder="1" applyAlignment="1">
      <alignment horizontal="center" vertical="center" wrapText="1"/>
    </xf>
    <xf numFmtId="0" fontId="14" fillId="17" borderId="7" xfId="0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7" xfId="0" applyFont="1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47" fillId="0" borderId="4" xfId="0" applyFont="1" applyFill="1" applyBorder="1" applyAlignment="1">
      <alignment horizontal="center" vertical="top" wrapText="1"/>
    </xf>
    <xf numFmtId="0" fontId="47" fillId="0" borderId="5" xfId="0" applyFont="1" applyFill="1" applyBorder="1" applyAlignment="1">
      <alignment horizontal="center" vertical="top" wrapText="1"/>
    </xf>
    <xf numFmtId="0" fontId="47" fillId="0" borderId="4" xfId="0" applyFont="1" applyFill="1" applyBorder="1" applyAlignment="1">
      <alignment horizontal="center" wrapText="1"/>
    </xf>
    <xf numFmtId="0" fontId="47" fillId="0" borderId="5" xfId="0" applyFont="1" applyFill="1" applyBorder="1" applyAlignment="1">
      <alignment horizontal="center" wrapText="1"/>
    </xf>
    <xf numFmtId="0" fontId="48" fillId="0" borderId="1" xfId="0" applyFont="1" applyFill="1" applyBorder="1" applyAlignment="1">
      <alignment horizontal="center" wrapText="1"/>
    </xf>
    <xf numFmtId="0" fontId="48" fillId="0" borderId="39" xfId="0" applyFont="1" applyFill="1" applyBorder="1" applyAlignment="1">
      <alignment horizontal="center" vertical="center" wrapText="1"/>
    </xf>
    <xf numFmtId="0" fontId="48" fillId="0" borderId="36" xfId="0" applyFont="1" applyFill="1" applyBorder="1" applyAlignment="1">
      <alignment horizontal="center" vertical="center" wrapText="1"/>
    </xf>
    <xf numFmtId="0" fontId="48" fillId="0" borderId="48" xfId="0" applyFont="1" applyFill="1" applyBorder="1" applyAlignment="1">
      <alignment horizontal="center" vertical="center" wrapText="1"/>
    </xf>
    <xf numFmtId="0" fontId="48" fillId="0" borderId="41" xfId="0" applyFont="1" applyFill="1" applyBorder="1" applyAlignment="1">
      <alignment horizontal="center" vertical="center" wrapText="1"/>
    </xf>
    <xf numFmtId="0" fontId="48" fillId="0" borderId="0" xfId="0" applyFont="1" applyFill="1" applyBorder="1" applyAlignment="1">
      <alignment horizontal="center" vertical="center" wrapText="1"/>
    </xf>
    <xf numFmtId="0" fontId="48" fillId="0" borderId="14" xfId="0" applyFont="1" applyFill="1" applyBorder="1" applyAlignment="1">
      <alignment horizontal="center" vertical="center" wrapText="1"/>
    </xf>
    <xf numFmtId="0" fontId="48" fillId="0" borderId="43" xfId="0" applyFont="1" applyFill="1" applyBorder="1" applyAlignment="1">
      <alignment horizontal="center" vertical="center" wrapText="1"/>
    </xf>
    <xf numFmtId="0" fontId="48" fillId="0" borderId="15" xfId="0" applyFont="1" applyFill="1" applyBorder="1" applyAlignment="1">
      <alignment horizontal="center" vertical="center" wrapText="1"/>
    </xf>
    <xf numFmtId="0" fontId="48" fillId="0" borderId="16" xfId="0" applyFont="1" applyFill="1" applyBorder="1" applyAlignment="1">
      <alignment horizontal="center" vertical="center" wrapText="1"/>
    </xf>
    <xf numFmtId="0" fontId="48" fillId="0" borderId="4" xfId="0" applyFont="1" applyFill="1" applyBorder="1" applyAlignment="1">
      <alignment horizontal="center" wrapText="1"/>
    </xf>
    <xf numFmtId="0" fontId="48" fillId="0" borderId="5" xfId="0" applyFont="1" applyFill="1" applyBorder="1" applyAlignment="1">
      <alignment horizontal="center" wrapText="1"/>
    </xf>
    <xf numFmtId="0" fontId="48" fillId="0" borderId="4" xfId="0" applyFont="1" applyFill="1" applyBorder="1" applyAlignment="1">
      <alignment horizontal="left" wrapText="1" indent="1"/>
    </xf>
    <xf numFmtId="0" fontId="48" fillId="0" borderId="5" xfId="0" applyFont="1" applyFill="1" applyBorder="1" applyAlignment="1">
      <alignment horizontal="left" wrapText="1" indent="1"/>
    </xf>
    <xf numFmtId="0" fontId="48" fillId="0" borderId="49" xfId="0" applyFont="1" applyFill="1" applyBorder="1" applyAlignment="1">
      <alignment horizontal="center" wrapText="1"/>
    </xf>
    <xf numFmtId="0" fontId="48" fillId="0" borderId="1" xfId="0" applyFont="1" applyFill="1" applyBorder="1" applyAlignment="1">
      <alignment vertical="top" wrapText="1"/>
    </xf>
    <xf numFmtId="0" fontId="53" fillId="0" borderId="0" xfId="0" applyFont="1" applyAlignment="1">
      <alignment horizontal="left" vertical="center" wrapText="1" indent="1"/>
    </xf>
    <xf numFmtId="0" fontId="51" fillId="0" borderId="0" xfId="0" applyFont="1" applyAlignment="1">
      <alignment horizontal="center"/>
    </xf>
    <xf numFmtId="0" fontId="48" fillId="0" borderId="1" xfId="0" applyFont="1" applyFill="1" applyBorder="1" applyAlignment="1">
      <alignment wrapText="1"/>
    </xf>
    <xf numFmtId="0" fontId="47" fillId="0" borderId="1" xfId="0" applyFont="1" applyFill="1" applyBorder="1" applyAlignment="1">
      <alignment vertical="top" wrapText="1"/>
    </xf>
    <xf numFmtId="0" fontId="3" fillId="14" borderId="12" xfId="0" applyFont="1" applyFill="1" applyBorder="1" applyAlignment="1">
      <alignment horizontal="center" vertical="center"/>
    </xf>
    <xf numFmtId="0" fontId="0" fillId="15" borderId="12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46" fillId="3" borderId="15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47" fillId="19" borderId="4" xfId="0" applyFont="1" applyFill="1" applyBorder="1" applyAlignment="1">
      <alignment horizontal="center" wrapText="1"/>
    </xf>
    <xf numFmtId="0" fontId="47" fillId="19" borderId="5" xfId="0" applyFont="1" applyFill="1" applyBorder="1" applyAlignment="1">
      <alignment horizontal="center" wrapText="1"/>
    </xf>
    <xf numFmtId="0" fontId="47" fillId="0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justify" wrapText="1"/>
    </xf>
    <xf numFmtId="0" fontId="57" fillId="0" borderId="36" xfId="0" applyFont="1" applyBorder="1" applyAlignment="1">
      <alignment horizontal="left" wrapText="1"/>
    </xf>
    <xf numFmtId="0" fontId="57" fillId="0" borderId="0" xfId="0" applyFont="1" applyAlignment="1">
      <alignment horizontal="left" wrapText="1"/>
    </xf>
    <xf numFmtId="0" fontId="55" fillId="3" borderId="1" xfId="0" applyFont="1" applyFill="1" applyBorder="1" applyAlignment="1">
      <alignment wrapText="1"/>
    </xf>
    <xf numFmtId="0" fontId="54" fillId="3" borderId="1" xfId="0" applyFont="1" applyFill="1" applyBorder="1" applyAlignment="1">
      <alignment horizontal="center" wrapText="1"/>
    </xf>
    <xf numFmtId="0" fontId="0" fillId="0" borderId="0" xfId="0" applyAlignment="1">
      <alignment horizontal="justify" wrapText="1"/>
    </xf>
    <xf numFmtId="0" fontId="41" fillId="0" borderId="50" xfId="0" applyFont="1" applyBorder="1" applyAlignment="1">
      <alignment horizontal="center" vertical="top" wrapText="1"/>
    </xf>
    <xf numFmtId="0" fontId="41" fillId="0" borderId="51" xfId="0" applyFont="1" applyBorder="1" applyAlignment="1">
      <alignment horizontal="center" vertical="top" wrapText="1"/>
    </xf>
    <xf numFmtId="0" fontId="41" fillId="0" borderId="33" xfId="0" applyFont="1" applyBorder="1" applyAlignment="1">
      <alignment horizontal="center" vertical="top" wrapText="1"/>
    </xf>
    <xf numFmtId="0" fontId="40" fillId="0" borderId="50" xfId="0" applyFont="1" applyBorder="1" applyAlignment="1">
      <alignment horizontal="center" vertical="top" wrapText="1"/>
    </xf>
    <xf numFmtId="0" fontId="40" fillId="0" borderId="51" xfId="0" applyFont="1" applyBorder="1" applyAlignment="1">
      <alignment horizontal="center" vertical="top" wrapText="1"/>
    </xf>
    <xf numFmtId="0" fontId="40" fillId="0" borderId="33" xfId="0" applyFont="1" applyBorder="1" applyAlignment="1">
      <alignment horizontal="center" vertical="top" wrapText="1"/>
    </xf>
    <xf numFmtId="0" fontId="39" fillId="0" borderId="26" xfId="0" applyFont="1" applyBorder="1" applyAlignment="1">
      <alignment horizontal="center" vertical="top" wrapText="1"/>
    </xf>
    <xf numFmtId="0" fontId="39" fillId="0" borderId="32" xfId="0" applyFont="1" applyBorder="1" applyAlignment="1">
      <alignment horizontal="center" vertical="top" wrapText="1"/>
    </xf>
    <xf numFmtId="0" fontId="40" fillId="14" borderId="26" xfId="0" applyFont="1" applyFill="1" applyBorder="1" applyAlignment="1">
      <alignment horizontal="center" vertical="top" wrapText="1"/>
    </xf>
    <xf numFmtId="0" fontId="40" fillId="14" borderId="32" xfId="0" applyFont="1" applyFill="1" applyBorder="1" applyAlignment="1">
      <alignment horizontal="center" vertical="top" wrapText="1"/>
    </xf>
    <xf numFmtId="0" fontId="40" fillId="0" borderId="26" xfId="0" applyFont="1" applyBorder="1" applyAlignment="1">
      <alignment horizontal="center" vertical="top" wrapText="1"/>
    </xf>
    <xf numFmtId="0" fontId="40" fillId="0" borderId="32" xfId="0" applyFont="1" applyBorder="1" applyAlignment="1">
      <alignment horizontal="center" vertical="top" wrapText="1"/>
    </xf>
    <xf numFmtId="0" fontId="32" fillId="0" borderId="52" xfId="0" applyFont="1" applyBorder="1" applyAlignment="1">
      <alignment horizontal="center" vertical="top" wrapText="1"/>
    </xf>
    <xf numFmtId="0" fontId="32" fillId="0" borderId="28" xfId="0" applyFont="1" applyBorder="1" applyAlignment="1">
      <alignment horizontal="center" vertical="top" wrapText="1"/>
    </xf>
    <xf numFmtId="0" fontId="32" fillId="0" borderId="53" xfId="0" applyFont="1" applyBorder="1" applyAlignment="1">
      <alignment horizontal="center" vertical="top" wrapText="1"/>
    </xf>
    <xf numFmtId="0" fontId="32" fillId="0" borderId="30" xfId="0" applyFont="1" applyBorder="1" applyAlignment="1">
      <alignment horizontal="center" vertical="top" wrapText="1"/>
    </xf>
    <xf numFmtId="0" fontId="0" fillId="0" borderId="53" xfId="0" applyBorder="1" applyAlignment="1">
      <alignment vertical="top" wrapText="1"/>
    </xf>
    <xf numFmtId="0" fontId="0" fillId="0" borderId="30" xfId="0" applyBorder="1" applyAlignment="1">
      <alignment vertical="top" wrapText="1"/>
    </xf>
    <xf numFmtId="0" fontId="30" fillId="14" borderId="52" xfId="0" applyFont="1" applyFill="1" applyBorder="1" applyAlignment="1">
      <alignment vertical="top" wrapText="1"/>
    </xf>
    <xf numFmtId="0" fontId="30" fillId="14" borderId="28" xfId="0" applyFont="1" applyFill="1" applyBorder="1" applyAlignment="1">
      <alignment vertical="top" wrapText="1"/>
    </xf>
    <xf numFmtId="0" fontId="30" fillId="14" borderId="53" xfId="0" applyFont="1" applyFill="1" applyBorder="1" applyAlignment="1">
      <alignment vertical="top" wrapText="1"/>
    </xf>
    <xf numFmtId="0" fontId="30" fillId="14" borderId="30" xfId="0" applyFont="1" applyFill="1" applyBorder="1" applyAlignment="1">
      <alignment vertical="top" wrapText="1"/>
    </xf>
    <xf numFmtId="0" fontId="33" fillId="14" borderId="54" xfId="0" applyFont="1" applyFill="1" applyBorder="1" applyAlignment="1">
      <alignment horizontal="center" vertical="top" wrapText="1"/>
    </xf>
    <xf numFmtId="0" fontId="33" fillId="14" borderId="27" xfId="0" applyFont="1" applyFill="1" applyBorder="1" applyAlignment="1">
      <alignment horizontal="center" vertical="top" wrapText="1"/>
    </xf>
    <xf numFmtId="0" fontId="33" fillId="14" borderId="52" xfId="0" applyFont="1" applyFill="1" applyBorder="1" applyAlignment="1">
      <alignment horizontal="center" vertical="top" wrapText="1"/>
    </xf>
    <xf numFmtId="0" fontId="33" fillId="14" borderId="28" xfId="0" applyFont="1" applyFill="1" applyBorder="1" applyAlignment="1">
      <alignment horizontal="center" vertical="top" wrapText="1"/>
    </xf>
    <xf numFmtId="0" fontId="32" fillId="0" borderId="54" xfId="0" applyFont="1" applyBorder="1" applyAlignment="1">
      <alignment horizontal="center" vertical="top" wrapText="1"/>
    </xf>
    <xf numFmtId="0" fontId="32" fillId="0" borderId="27" xfId="0" applyFont="1" applyBorder="1" applyAlignment="1">
      <alignment horizontal="center" vertical="top" wrapText="1"/>
    </xf>
    <xf numFmtId="0" fontId="32" fillId="0" borderId="50" xfId="0" applyFont="1" applyBorder="1" applyAlignment="1">
      <alignment horizontal="center" vertical="top" wrapText="1"/>
    </xf>
    <xf numFmtId="0" fontId="32" fillId="0" borderId="51" xfId="0" applyFont="1" applyBorder="1" applyAlignment="1">
      <alignment horizontal="center" vertical="top" wrapText="1"/>
    </xf>
    <xf numFmtId="0" fontId="32" fillId="0" borderId="33" xfId="0" applyFont="1" applyBorder="1" applyAlignment="1">
      <alignment horizontal="center" vertical="top" wrapText="1"/>
    </xf>
    <xf numFmtId="0" fontId="32" fillId="0" borderId="34" xfId="0" applyFont="1" applyBorder="1" applyAlignment="1">
      <alignment horizontal="center" vertical="top" wrapText="1"/>
    </xf>
    <xf numFmtId="0" fontId="0" fillId="0" borderId="52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0" fontId="0" fillId="0" borderId="4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49" fontId="1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2" fillId="0" borderId="0" xfId="0" applyNumberFormat="1" applyFont="1" applyAlignment="1">
      <alignment horizontal="center" vertical="center" wrapText="1"/>
    </xf>
    <xf numFmtId="170" fontId="0" fillId="0" borderId="0" xfId="0" applyNumberForma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2" borderId="18" xfId="0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10" fillId="9" borderId="52" xfId="0" applyFont="1" applyFill="1" applyBorder="1" applyAlignment="1">
      <alignment horizontal="center" vertical="center" wrapText="1"/>
    </xf>
    <xf numFmtId="0" fontId="10" fillId="9" borderId="0" xfId="0" applyFont="1" applyFill="1" applyBorder="1" applyAlignment="1">
      <alignment horizontal="center" vertical="center" wrapText="1"/>
    </xf>
    <xf numFmtId="0" fontId="10" fillId="9" borderId="28" xfId="0" applyFont="1" applyFill="1" applyBorder="1" applyAlignment="1">
      <alignment horizontal="center" vertical="center" wrapText="1"/>
    </xf>
    <xf numFmtId="0" fontId="10" fillId="9" borderId="53" xfId="0" applyFont="1" applyFill="1" applyBorder="1" applyAlignment="1">
      <alignment horizontal="center" vertical="center" wrapText="1"/>
    </xf>
    <xf numFmtId="0" fontId="10" fillId="9" borderId="31" xfId="0" applyFont="1" applyFill="1" applyBorder="1" applyAlignment="1">
      <alignment horizontal="center" vertical="center" wrapText="1"/>
    </xf>
    <xf numFmtId="0" fontId="10" fillId="9" borderId="30" xfId="0" applyFont="1" applyFill="1" applyBorder="1" applyAlignment="1">
      <alignment horizontal="center" vertical="center" wrapText="1"/>
    </xf>
    <xf numFmtId="0" fontId="8" fillId="3" borderId="54" xfId="0" applyFont="1" applyFill="1" applyBorder="1" applyAlignment="1">
      <alignment horizontal="center" vertical="center" wrapText="1"/>
    </xf>
    <xf numFmtId="0" fontId="8" fillId="3" borderId="29" xfId="0" applyFont="1" applyFill="1" applyBorder="1" applyAlignment="1">
      <alignment horizontal="center" vertical="center" wrapText="1"/>
    </xf>
    <xf numFmtId="0" fontId="8" fillId="3" borderId="27" xfId="0" applyFont="1" applyFill="1" applyBorder="1" applyAlignment="1">
      <alignment horizontal="center" vertical="center" wrapText="1"/>
    </xf>
    <xf numFmtId="0" fontId="8" fillId="3" borderId="52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 wrapText="1"/>
    </xf>
    <xf numFmtId="0" fontId="8" fillId="3" borderId="28" xfId="0" applyFont="1" applyFill="1" applyBorder="1" applyAlignment="1">
      <alignment horizontal="center" vertical="center" wrapText="1"/>
    </xf>
    <xf numFmtId="0" fontId="9" fillId="2" borderId="52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 wrapText="1"/>
    </xf>
    <xf numFmtId="0" fontId="9" fillId="2" borderId="28" xfId="0" applyFont="1" applyFill="1" applyBorder="1" applyAlignment="1">
      <alignment horizontal="center" vertical="center" wrapText="1"/>
    </xf>
    <xf numFmtId="0" fontId="61" fillId="4" borderId="0" xfId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wmf"/><Relationship Id="rId2" Type="http://schemas.openxmlformats.org/officeDocument/2006/relationships/image" Target="../media/image15.wmf"/><Relationship Id="rId1" Type="http://schemas.openxmlformats.org/officeDocument/2006/relationships/image" Target="../media/image14.wmf"/><Relationship Id="rId4" Type="http://schemas.openxmlformats.org/officeDocument/2006/relationships/image" Target="../media/image17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95250</xdr:rowOff>
    </xdr:from>
    <xdr:to>
      <xdr:col>2</xdr:col>
      <xdr:colOff>647700</xdr:colOff>
      <xdr:row>17</xdr:row>
      <xdr:rowOff>142875</xdr:rowOff>
    </xdr:to>
    <xdr:sp macro="" textlink="">
      <xdr:nvSpPr>
        <xdr:cNvPr id="7169" name="Text Box 1"/>
        <xdr:cNvSpPr txBox="1">
          <a:spLocks noChangeArrowheads="1"/>
        </xdr:cNvSpPr>
      </xdr:nvSpPr>
      <xdr:spPr bwMode="auto">
        <a:xfrm>
          <a:off x="276225" y="2505075"/>
          <a:ext cx="150495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ru-RU" sz="1000" b="0" i="0" strike="noStrike">
              <a:solidFill>
                <a:srgbClr val="000000"/>
              </a:solidFill>
              <a:latin typeface="Arial Cyr"/>
            </a:rPr>
            <a:t>Теплоемкость газов при 760мм рт. Столба и 20 °С</a:t>
          </a:r>
        </a:p>
      </xdr:txBody>
    </xdr:sp>
    <xdr:clientData/>
  </xdr:twoCellAnchor>
  <xdr:twoCellAnchor>
    <xdr:from>
      <xdr:col>1</xdr:col>
      <xdr:colOff>0</xdr:colOff>
      <xdr:row>19</xdr:row>
      <xdr:rowOff>9525</xdr:rowOff>
    </xdr:from>
    <xdr:to>
      <xdr:col>3</xdr:col>
      <xdr:colOff>590550</xdr:colOff>
      <xdr:row>21</xdr:row>
      <xdr:rowOff>57150</xdr:rowOff>
    </xdr:to>
    <xdr:sp macro="" textlink="">
      <xdr:nvSpPr>
        <xdr:cNvPr id="7170" name="Text Box 2"/>
        <xdr:cNvSpPr txBox="1">
          <a:spLocks noChangeArrowheads="1"/>
        </xdr:cNvSpPr>
      </xdr:nvSpPr>
      <xdr:spPr bwMode="auto">
        <a:xfrm>
          <a:off x="276225" y="3067050"/>
          <a:ext cx="2105025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ru-RU" sz="1000" b="0" i="0" strike="noStrike">
              <a:solidFill>
                <a:srgbClr val="000000"/>
              </a:solidFill>
              <a:latin typeface="Arial Cyr"/>
            </a:rPr>
            <a:t>Средняя теплоемкость газов в интервале температур от 0°С до...</a:t>
          </a:r>
        </a:p>
      </xdr:txBody>
    </xdr:sp>
    <xdr:clientData/>
  </xdr:twoCellAnchor>
  <xdr:twoCellAnchor>
    <xdr:from>
      <xdr:col>1</xdr:col>
      <xdr:colOff>314325</xdr:colOff>
      <xdr:row>13</xdr:row>
      <xdr:rowOff>104775</xdr:rowOff>
    </xdr:from>
    <xdr:to>
      <xdr:col>2</xdr:col>
      <xdr:colOff>180975</xdr:colOff>
      <xdr:row>15</xdr:row>
      <xdr:rowOff>9525</xdr:rowOff>
    </xdr:to>
    <xdr:sp macro="" textlink="">
      <xdr:nvSpPr>
        <xdr:cNvPr id="7171" name="AutoShape 3"/>
        <xdr:cNvSpPr>
          <a:spLocks noChangeArrowheads="1"/>
        </xdr:cNvSpPr>
      </xdr:nvSpPr>
      <xdr:spPr bwMode="auto">
        <a:xfrm>
          <a:off x="590550" y="2181225"/>
          <a:ext cx="723900" cy="238125"/>
        </a:xfrm>
        <a:prstGeom prst="upArrow">
          <a:avLst>
            <a:gd name="adj1" fmla="val 57898"/>
            <a:gd name="adj2" fmla="val 52000"/>
          </a:avLst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</xdr:sp>
    <xdr:clientData/>
  </xdr:twoCellAnchor>
  <xdr:twoCellAnchor>
    <xdr:from>
      <xdr:col>4</xdr:col>
      <xdr:colOff>171450</xdr:colOff>
      <xdr:row>18</xdr:row>
      <xdr:rowOff>133350</xdr:rowOff>
    </xdr:from>
    <xdr:to>
      <xdr:col>4</xdr:col>
      <xdr:colOff>504825</xdr:colOff>
      <xdr:row>22</xdr:row>
      <xdr:rowOff>0</xdr:rowOff>
    </xdr:to>
    <xdr:sp macro="" textlink="">
      <xdr:nvSpPr>
        <xdr:cNvPr id="7172" name="AutoShape 4"/>
        <xdr:cNvSpPr>
          <a:spLocks noChangeArrowheads="1"/>
        </xdr:cNvSpPr>
      </xdr:nvSpPr>
      <xdr:spPr bwMode="auto">
        <a:xfrm>
          <a:off x="2600325" y="3028950"/>
          <a:ext cx="333375" cy="514350"/>
        </a:xfrm>
        <a:prstGeom prst="rightArrow">
          <a:avLst>
            <a:gd name="adj1" fmla="val 48148"/>
            <a:gd name="adj2" fmla="val 4571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180975</xdr:colOff>
      <xdr:row>16</xdr:row>
      <xdr:rowOff>76200</xdr:rowOff>
    </xdr:from>
    <xdr:to>
      <xdr:col>14</xdr:col>
      <xdr:colOff>238125</xdr:colOff>
      <xdr:row>16</xdr:row>
      <xdr:rowOff>76200</xdr:rowOff>
    </xdr:to>
    <xdr:sp macro="" textlink="">
      <xdr:nvSpPr>
        <xdr:cNvPr id="7173" name="Line 5"/>
        <xdr:cNvSpPr>
          <a:spLocks noChangeShapeType="1"/>
        </xdr:cNvSpPr>
      </xdr:nvSpPr>
      <xdr:spPr bwMode="auto">
        <a:xfrm>
          <a:off x="6229350" y="2647950"/>
          <a:ext cx="46672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200025</xdr:colOff>
      <xdr:row>18</xdr:row>
      <xdr:rowOff>76200</xdr:rowOff>
    </xdr:from>
    <xdr:to>
      <xdr:col>15</xdr:col>
      <xdr:colOff>161925</xdr:colOff>
      <xdr:row>23</xdr:row>
      <xdr:rowOff>38100</xdr:rowOff>
    </xdr:to>
    <xdr:grpSp>
      <xdr:nvGrpSpPr>
        <xdr:cNvPr id="7174" name="Group 6"/>
        <xdr:cNvGrpSpPr>
          <a:grpSpLocks/>
        </xdr:cNvGrpSpPr>
      </xdr:nvGrpSpPr>
      <xdr:grpSpPr bwMode="auto">
        <a:xfrm>
          <a:off x="6375400" y="2933700"/>
          <a:ext cx="787400" cy="755650"/>
          <a:chOff x="3024" y="5472"/>
          <a:chExt cx="4689" cy="4896"/>
        </a:xfrm>
      </xdr:grpSpPr>
      <xdr:sp macro="" textlink="">
        <xdr:nvSpPr>
          <xdr:cNvPr id="7175" name="AutoShape 7"/>
          <xdr:cNvSpPr>
            <a:spLocks noChangeArrowheads="1"/>
          </xdr:cNvSpPr>
        </xdr:nvSpPr>
        <xdr:spPr bwMode="auto">
          <a:xfrm>
            <a:off x="3024" y="5472"/>
            <a:ext cx="4608" cy="4896"/>
          </a:xfrm>
          <a:custGeom>
            <a:avLst/>
            <a:gdLst>
              <a:gd name="G0" fmla="+- 557 0 0"/>
              <a:gd name="G1" fmla="+- 21600 0 557"/>
              <a:gd name="G2" fmla="+- 21600 0 557"/>
              <a:gd name="G3" fmla="*/ G0 2929 10000"/>
              <a:gd name="G4" fmla="+- 21600 0 G3"/>
              <a:gd name="G5" fmla="+- 21600 0 G3"/>
              <a:gd name="T0" fmla="*/ 10800 w 21600"/>
              <a:gd name="T1" fmla="*/ 0 h 21600"/>
              <a:gd name="T2" fmla="*/ 3163 w 21600"/>
              <a:gd name="T3" fmla="*/ 3163 h 21600"/>
              <a:gd name="T4" fmla="*/ 0 w 21600"/>
              <a:gd name="T5" fmla="*/ 10800 h 21600"/>
              <a:gd name="T6" fmla="*/ 3163 w 21600"/>
              <a:gd name="T7" fmla="*/ 18437 h 21600"/>
              <a:gd name="T8" fmla="*/ 10800 w 21600"/>
              <a:gd name="T9" fmla="*/ 21600 h 21600"/>
              <a:gd name="T10" fmla="*/ 18437 w 21600"/>
              <a:gd name="T11" fmla="*/ 18437 h 21600"/>
              <a:gd name="T12" fmla="*/ 21600 w 21600"/>
              <a:gd name="T13" fmla="*/ 10800 h 21600"/>
              <a:gd name="T14" fmla="*/ 18437 w 21600"/>
              <a:gd name="T15" fmla="*/ 3163 h 21600"/>
              <a:gd name="T16" fmla="*/ 3163 w 21600"/>
              <a:gd name="T17" fmla="*/ 3163 h 21600"/>
              <a:gd name="T18" fmla="*/ 18437 w 21600"/>
              <a:gd name="T19" fmla="*/ 18437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T16" t="T17" r="T18" b="T19"/>
            <a:pathLst>
              <a:path w="21600" h="21600">
                <a:moveTo>
                  <a:pt x="0" y="10800"/>
                </a:moveTo>
                <a:cubicBezTo>
                  <a:pt x="0" y="4835"/>
                  <a:pt x="4835" y="0"/>
                  <a:pt x="10800" y="0"/>
                </a:cubicBezTo>
                <a:cubicBezTo>
                  <a:pt x="16765" y="0"/>
                  <a:pt x="21600" y="4835"/>
                  <a:pt x="21600" y="10800"/>
                </a:cubicBezTo>
                <a:cubicBezTo>
                  <a:pt x="21600" y="16765"/>
                  <a:pt x="16765" y="21600"/>
                  <a:pt x="10800" y="21600"/>
                </a:cubicBezTo>
                <a:cubicBezTo>
                  <a:pt x="4835" y="21600"/>
                  <a:pt x="0" y="16765"/>
                  <a:pt x="0" y="10800"/>
                </a:cubicBezTo>
                <a:close/>
                <a:moveTo>
                  <a:pt x="557" y="10800"/>
                </a:moveTo>
                <a:cubicBezTo>
                  <a:pt x="557" y="16457"/>
                  <a:pt x="5143" y="21043"/>
                  <a:pt x="10800" y="21043"/>
                </a:cubicBezTo>
                <a:cubicBezTo>
                  <a:pt x="16457" y="21043"/>
                  <a:pt x="21043" y="16457"/>
                  <a:pt x="21043" y="10800"/>
                </a:cubicBezTo>
                <a:cubicBezTo>
                  <a:pt x="21043" y="5143"/>
                  <a:pt x="16457" y="557"/>
                  <a:pt x="10800" y="557"/>
                </a:cubicBezTo>
                <a:cubicBezTo>
                  <a:pt x="5143" y="557"/>
                  <a:pt x="557" y="5143"/>
                  <a:pt x="557" y="10800"/>
                </a:cubicBezTo>
                <a:close/>
              </a:path>
            </a:pathLst>
          </a:custGeom>
          <a:solidFill>
            <a:srgbClr val="0000FF"/>
          </a:solidFill>
          <a:ln w="9525">
            <a:solidFill>
              <a:srgbClr val="000000"/>
            </a:solidFill>
            <a:round/>
            <a:headEnd/>
            <a:tailEnd/>
          </a:ln>
          <a:effectLst>
            <a:outerShdw dist="107763" dir="2700000" algn="ctr" rotWithShape="0">
              <a:srgbClr val="808080"/>
            </a:outerShdw>
          </a:effectLst>
        </xdr:spPr>
      </xdr:sp>
      <xdr:grpSp>
        <xdr:nvGrpSpPr>
          <xdr:cNvPr id="7176" name="Group 8"/>
          <xdr:cNvGrpSpPr>
            <a:grpSpLocks/>
          </xdr:cNvGrpSpPr>
        </xdr:nvGrpSpPr>
        <xdr:grpSpPr bwMode="auto">
          <a:xfrm>
            <a:off x="4056" y="6035"/>
            <a:ext cx="3657" cy="4229"/>
            <a:chOff x="4056" y="6035"/>
            <a:chExt cx="3657" cy="4229"/>
          </a:xfrm>
        </xdr:grpSpPr>
        <xdr:grpSp>
          <xdr:nvGrpSpPr>
            <xdr:cNvPr id="7177" name="Group 9"/>
            <xdr:cNvGrpSpPr>
              <a:grpSpLocks/>
            </xdr:cNvGrpSpPr>
          </xdr:nvGrpSpPr>
          <xdr:grpSpPr bwMode="auto">
            <a:xfrm rot="-2683678">
              <a:off x="4056" y="6808"/>
              <a:ext cx="1440" cy="3456"/>
              <a:chOff x="3744" y="6048"/>
              <a:chExt cx="1440" cy="3456"/>
            </a:xfrm>
          </xdr:grpSpPr>
          <xdr:sp macro="" textlink="">
            <xdr:nvSpPr>
              <xdr:cNvPr id="7178" name="AutoShape 10"/>
              <xdr:cNvSpPr>
                <a:spLocks noChangeArrowheads="1"/>
              </xdr:cNvSpPr>
            </xdr:nvSpPr>
            <xdr:spPr bwMode="auto">
              <a:xfrm>
                <a:off x="3888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79" name="AutoShape 11"/>
              <xdr:cNvSpPr>
                <a:spLocks noChangeArrowheads="1"/>
              </xdr:cNvSpPr>
            </xdr:nvSpPr>
            <xdr:spPr bwMode="auto">
              <a:xfrm>
                <a:off x="4176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80" name="AutoShape 12"/>
              <xdr:cNvSpPr>
                <a:spLocks noChangeArrowheads="1"/>
              </xdr:cNvSpPr>
            </xdr:nvSpPr>
            <xdr:spPr bwMode="auto">
              <a:xfrm>
                <a:off x="4464" y="6048"/>
                <a:ext cx="720" cy="3456"/>
              </a:xfrm>
              <a:prstGeom prst="parallelogram">
                <a:avLst>
                  <a:gd name="adj" fmla="val 62083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81" name="Line 13"/>
              <xdr:cNvSpPr>
                <a:spLocks noChangeShapeType="1"/>
              </xdr:cNvSpPr>
            </xdr:nvSpPr>
            <xdr:spPr bwMode="auto">
              <a:xfrm flipH="1">
                <a:off x="3744" y="6048"/>
                <a:ext cx="432" cy="345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</xdr:grpSp>
        <xdr:sp macro="" textlink="">
          <xdr:nvSpPr>
            <xdr:cNvPr id="7182" name="AutoShape 14"/>
            <xdr:cNvSpPr>
              <a:spLocks noChangeArrowheads="1"/>
            </xdr:cNvSpPr>
          </xdr:nvSpPr>
          <xdr:spPr bwMode="auto">
            <a:xfrm rot="-2683678">
              <a:off x="4205" y="6035"/>
              <a:ext cx="1872" cy="1440"/>
            </a:xfrm>
            <a:prstGeom prst="parallelogram">
              <a:avLst>
                <a:gd name="adj" fmla="val 68539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  <xdr:sp macro="" textlink="">
          <xdr:nvSpPr>
            <xdr:cNvPr id="7183" name="AutoShape 15"/>
            <xdr:cNvSpPr>
              <a:spLocks noChangeArrowheads="1"/>
            </xdr:cNvSpPr>
          </xdr:nvSpPr>
          <xdr:spPr bwMode="auto">
            <a:xfrm rot="18916322" flipV="1">
              <a:off x="5409" y="6946"/>
              <a:ext cx="2304" cy="1872"/>
            </a:xfrm>
            <a:prstGeom prst="parallelogram">
              <a:avLst>
                <a:gd name="adj" fmla="val 71100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</xdr:grpSp>
    </xdr:grpSp>
    <xdr:clientData/>
  </xdr:twoCellAnchor>
  <xdr:twoCellAnchor>
    <xdr:from>
      <xdr:col>13</xdr:col>
      <xdr:colOff>180975</xdr:colOff>
      <xdr:row>43</xdr:row>
      <xdr:rowOff>76200</xdr:rowOff>
    </xdr:from>
    <xdr:to>
      <xdr:col>14</xdr:col>
      <xdr:colOff>238125</xdr:colOff>
      <xdr:row>43</xdr:row>
      <xdr:rowOff>76200</xdr:rowOff>
    </xdr:to>
    <xdr:sp macro="" textlink="">
      <xdr:nvSpPr>
        <xdr:cNvPr id="7184" name="Line 16"/>
        <xdr:cNvSpPr>
          <a:spLocks noChangeShapeType="1"/>
        </xdr:cNvSpPr>
      </xdr:nvSpPr>
      <xdr:spPr bwMode="auto">
        <a:xfrm>
          <a:off x="6229350" y="7058025"/>
          <a:ext cx="46672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200025</xdr:colOff>
      <xdr:row>45</xdr:row>
      <xdr:rowOff>76200</xdr:rowOff>
    </xdr:from>
    <xdr:to>
      <xdr:col>15</xdr:col>
      <xdr:colOff>161925</xdr:colOff>
      <xdr:row>50</xdr:row>
      <xdr:rowOff>38100</xdr:rowOff>
    </xdr:to>
    <xdr:grpSp>
      <xdr:nvGrpSpPr>
        <xdr:cNvPr id="7185" name="Group 17"/>
        <xdr:cNvGrpSpPr>
          <a:grpSpLocks/>
        </xdr:cNvGrpSpPr>
      </xdr:nvGrpSpPr>
      <xdr:grpSpPr bwMode="auto">
        <a:xfrm>
          <a:off x="6375400" y="7283450"/>
          <a:ext cx="787400" cy="755650"/>
          <a:chOff x="3024" y="5472"/>
          <a:chExt cx="4689" cy="4896"/>
        </a:xfrm>
      </xdr:grpSpPr>
      <xdr:sp macro="" textlink="">
        <xdr:nvSpPr>
          <xdr:cNvPr id="7186" name="AutoShape 18"/>
          <xdr:cNvSpPr>
            <a:spLocks noChangeArrowheads="1"/>
          </xdr:cNvSpPr>
        </xdr:nvSpPr>
        <xdr:spPr bwMode="auto">
          <a:xfrm>
            <a:off x="3024" y="5472"/>
            <a:ext cx="4608" cy="4896"/>
          </a:xfrm>
          <a:custGeom>
            <a:avLst/>
            <a:gdLst>
              <a:gd name="G0" fmla="+- 557 0 0"/>
              <a:gd name="G1" fmla="+- 21600 0 557"/>
              <a:gd name="G2" fmla="+- 21600 0 557"/>
              <a:gd name="G3" fmla="*/ G0 2929 10000"/>
              <a:gd name="G4" fmla="+- 21600 0 G3"/>
              <a:gd name="G5" fmla="+- 21600 0 G3"/>
              <a:gd name="T0" fmla="*/ 10800 w 21600"/>
              <a:gd name="T1" fmla="*/ 0 h 21600"/>
              <a:gd name="T2" fmla="*/ 3163 w 21600"/>
              <a:gd name="T3" fmla="*/ 3163 h 21600"/>
              <a:gd name="T4" fmla="*/ 0 w 21600"/>
              <a:gd name="T5" fmla="*/ 10800 h 21600"/>
              <a:gd name="T6" fmla="*/ 3163 w 21600"/>
              <a:gd name="T7" fmla="*/ 18437 h 21600"/>
              <a:gd name="T8" fmla="*/ 10800 w 21600"/>
              <a:gd name="T9" fmla="*/ 21600 h 21600"/>
              <a:gd name="T10" fmla="*/ 18437 w 21600"/>
              <a:gd name="T11" fmla="*/ 18437 h 21600"/>
              <a:gd name="T12" fmla="*/ 21600 w 21600"/>
              <a:gd name="T13" fmla="*/ 10800 h 21600"/>
              <a:gd name="T14" fmla="*/ 18437 w 21600"/>
              <a:gd name="T15" fmla="*/ 3163 h 21600"/>
              <a:gd name="T16" fmla="*/ 3163 w 21600"/>
              <a:gd name="T17" fmla="*/ 3163 h 21600"/>
              <a:gd name="T18" fmla="*/ 18437 w 21600"/>
              <a:gd name="T19" fmla="*/ 18437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T16" t="T17" r="T18" b="T19"/>
            <a:pathLst>
              <a:path w="21600" h="21600">
                <a:moveTo>
                  <a:pt x="0" y="10800"/>
                </a:moveTo>
                <a:cubicBezTo>
                  <a:pt x="0" y="4835"/>
                  <a:pt x="4835" y="0"/>
                  <a:pt x="10800" y="0"/>
                </a:cubicBezTo>
                <a:cubicBezTo>
                  <a:pt x="16765" y="0"/>
                  <a:pt x="21600" y="4835"/>
                  <a:pt x="21600" y="10800"/>
                </a:cubicBezTo>
                <a:cubicBezTo>
                  <a:pt x="21600" y="16765"/>
                  <a:pt x="16765" y="21600"/>
                  <a:pt x="10800" y="21600"/>
                </a:cubicBezTo>
                <a:cubicBezTo>
                  <a:pt x="4835" y="21600"/>
                  <a:pt x="0" y="16765"/>
                  <a:pt x="0" y="10800"/>
                </a:cubicBezTo>
                <a:close/>
                <a:moveTo>
                  <a:pt x="557" y="10800"/>
                </a:moveTo>
                <a:cubicBezTo>
                  <a:pt x="557" y="16457"/>
                  <a:pt x="5143" y="21043"/>
                  <a:pt x="10800" y="21043"/>
                </a:cubicBezTo>
                <a:cubicBezTo>
                  <a:pt x="16457" y="21043"/>
                  <a:pt x="21043" y="16457"/>
                  <a:pt x="21043" y="10800"/>
                </a:cubicBezTo>
                <a:cubicBezTo>
                  <a:pt x="21043" y="5143"/>
                  <a:pt x="16457" y="557"/>
                  <a:pt x="10800" y="557"/>
                </a:cubicBezTo>
                <a:cubicBezTo>
                  <a:pt x="5143" y="557"/>
                  <a:pt x="557" y="5143"/>
                  <a:pt x="557" y="10800"/>
                </a:cubicBezTo>
                <a:close/>
              </a:path>
            </a:pathLst>
          </a:custGeom>
          <a:solidFill>
            <a:srgbClr val="0000FF"/>
          </a:solidFill>
          <a:ln w="9525">
            <a:solidFill>
              <a:srgbClr val="000000"/>
            </a:solidFill>
            <a:round/>
            <a:headEnd/>
            <a:tailEnd/>
          </a:ln>
          <a:effectLst>
            <a:outerShdw dist="107763" dir="2700000" algn="ctr" rotWithShape="0">
              <a:srgbClr val="808080"/>
            </a:outerShdw>
          </a:effectLst>
        </xdr:spPr>
      </xdr:sp>
      <xdr:grpSp>
        <xdr:nvGrpSpPr>
          <xdr:cNvPr id="7187" name="Group 19"/>
          <xdr:cNvGrpSpPr>
            <a:grpSpLocks/>
          </xdr:cNvGrpSpPr>
        </xdr:nvGrpSpPr>
        <xdr:grpSpPr bwMode="auto">
          <a:xfrm>
            <a:off x="4056" y="6035"/>
            <a:ext cx="3657" cy="4229"/>
            <a:chOff x="4056" y="6035"/>
            <a:chExt cx="3657" cy="4229"/>
          </a:xfrm>
        </xdr:grpSpPr>
        <xdr:grpSp>
          <xdr:nvGrpSpPr>
            <xdr:cNvPr id="7188" name="Group 20"/>
            <xdr:cNvGrpSpPr>
              <a:grpSpLocks/>
            </xdr:cNvGrpSpPr>
          </xdr:nvGrpSpPr>
          <xdr:grpSpPr bwMode="auto">
            <a:xfrm rot="-2683678">
              <a:off x="4056" y="6808"/>
              <a:ext cx="1440" cy="3456"/>
              <a:chOff x="3744" y="6048"/>
              <a:chExt cx="1440" cy="3456"/>
            </a:xfrm>
          </xdr:grpSpPr>
          <xdr:sp macro="" textlink="">
            <xdr:nvSpPr>
              <xdr:cNvPr id="7189" name="AutoShape 21"/>
              <xdr:cNvSpPr>
                <a:spLocks noChangeArrowheads="1"/>
              </xdr:cNvSpPr>
            </xdr:nvSpPr>
            <xdr:spPr bwMode="auto">
              <a:xfrm>
                <a:off x="3888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90" name="AutoShape 22"/>
              <xdr:cNvSpPr>
                <a:spLocks noChangeArrowheads="1"/>
              </xdr:cNvSpPr>
            </xdr:nvSpPr>
            <xdr:spPr bwMode="auto">
              <a:xfrm>
                <a:off x="4176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91" name="AutoShape 23"/>
              <xdr:cNvSpPr>
                <a:spLocks noChangeArrowheads="1"/>
              </xdr:cNvSpPr>
            </xdr:nvSpPr>
            <xdr:spPr bwMode="auto">
              <a:xfrm>
                <a:off x="4464" y="6048"/>
                <a:ext cx="720" cy="3456"/>
              </a:xfrm>
              <a:prstGeom prst="parallelogram">
                <a:avLst>
                  <a:gd name="adj" fmla="val 62083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7192" name="Line 24"/>
              <xdr:cNvSpPr>
                <a:spLocks noChangeShapeType="1"/>
              </xdr:cNvSpPr>
            </xdr:nvSpPr>
            <xdr:spPr bwMode="auto">
              <a:xfrm flipH="1">
                <a:off x="3744" y="6048"/>
                <a:ext cx="432" cy="345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</xdr:grpSp>
        <xdr:sp macro="" textlink="">
          <xdr:nvSpPr>
            <xdr:cNvPr id="7193" name="AutoShape 25"/>
            <xdr:cNvSpPr>
              <a:spLocks noChangeArrowheads="1"/>
            </xdr:cNvSpPr>
          </xdr:nvSpPr>
          <xdr:spPr bwMode="auto">
            <a:xfrm rot="-2683678">
              <a:off x="4205" y="6035"/>
              <a:ext cx="1872" cy="1440"/>
            </a:xfrm>
            <a:prstGeom prst="parallelogram">
              <a:avLst>
                <a:gd name="adj" fmla="val 68539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  <xdr:sp macro="" textlink="">
          <xdr:nvSpPr>
            <xdr:cNvPr id="7194" name="AutoShape 26"/>
            <xdr:cNvSpPr>
              <a:spLocks noChangeArrowheads="1"/>
            </xdr:cNvSpPr>
          </xdr:nvSpPr>
          <xdr:spPr bwMode="auto">
            <a:xfrm rot="18916322" flipV="1">
              <a:off x="5409" y="6946"/>
              <a:ext cx="2304" cy="1872"/>
            </a:xfrm>
            <a:prstGeom prst="parallelogram">
              <a:avLst>
                <a:gd name="adj" fmla="val 71100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</xdr:grpSp>
    </xdr:grpSp>
    <xdr:clientData/>
  </xdr:twoCellAnchor>
  <xdr:twoCellAnchor>
    <xdr:from>
      <xdr:col>8</xdr:col>
      <xdr:colOff>85725</xdr:colOff>
      <xdr:row>3</xdr:row>
      <xdr:rowOff>95250</xdr:rowOff>
    </xdr:from>
    <xdr:to>
      <xdr:col>8</xdr:col>
      <xdr:colOff>352425</xdr:colOff>
      <xdr:row>18</xdr:row>
      <xdr:rowOff>95250</xdr:rowOff>
    </xdr:to>
    <xdr:sp macro="" textlink="">
      <xdr:nvSpPr>
        <xdr:cNvPr id="7195" name="WordArt 27" descr="Песок"/>
        <xdr:cNvSpPr>
          <a:spLocks noChangeArrowheads="1" noChangeShapeType="1" noTextEdit="1"/>
        </xdr:cNvSpPr>
      </xdr:nvSpPr>
      <xdr:spPr bwMode="auto">
        <a:xfrm rot="5400000">
          <a:off x="2900362" y="1633538"/>
          <a:ext cx="2447925" cy="2667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2400" kern="10" spc="0">
              <a:ln w="12700">
                <a:solidFill>
                  <a:srgbClr val="C4B596"/>
                </a:solidFill>
                <a:round/>
                <a:headEnd/>
                <a:tailEnd/>
              </a:ln>
              <a:blipFill dpi="0" rotWithShape="0">
                <a:blip xmlns:r="http://schemas.openxmlformats.org/officeDocument/2006/relationships" r:embed="rId1"/>
                <a:srcRect/>
                <a:tile tx="0" ty="0" sx="100000" sy="100000" flip="none" algn="tl"/>
              </a:blipFill>
              <a:effectLst>
                <a:outerShdw dist="53882" dir="2700000" algn="ctr" rotWithShape="0">
                  <a:srgbClr val="CBCBCB"/>
                </a:outerShdw>
              </a:effectLst>
              <a:latin typeface="Times New Roman"/>
              <a:cs typeface="Times New Roman"/>
            </a:rPr>
            <a:t>см. чуть ниже</a:t>
          </a:r>
        </a:p>
      </xdr:txBody>
    </xdr:sp>
    <xdr:clientData/>
  </xdr:twoCellAnchor>
  <xdr:twoCellAnchor>
    <xdr:from>
      <xdr:col>14</xdr:col>
      <xdr:colOff>114300</xdr:colOff>
      <xdr:row>6</xdr:row>
      <xdr:rowOff>47625</xdr:rowOff>
    </xdr:from>
    <xdr:to>
      <xdr:col>14</xdr:col>
      <xdr:colOff>295275</xdr:colOff>
      <xdr:row>12</xdr:row>
      <xdr:rowOff>9525</xdr:rowOff>
    </xdr:to>
    <xdr:sp macro="" textlink="">
      <xdr:nvSpPr>
        <xdr:cNvPr id="7196" name="AutoShape 28"/>
        <xdr:cNvSpPr>
          <a:spLocks noChangeArrowheads="1"/>
        </xdr:cNvSpPr>
      </xdr:nvSpPr>
      <xdr:spPr bwMode="auto">
        <a:xfrm>
          <a:off x="6572250" y="981075"/>
          <a:ext cx="180975" cy="933450"/>
        </a:xfrm>
        <a:prstGeom prst="downArrow">
          <a:avLst>
            <a:gd name="adj1" fmla="val 50000"/>
            <a:gd name="adj2" fmla="val 128947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152400</xdr:colOff>
      <xdr:row>19</xdr:row>
      <xdr:rowOff>9525</xdr:rowOff>
    </xdr:from>
    <xdr:to>
      <xdr:col>8</xdr:col>
      <xdr:colOff>314325</xdr:colOff>
      <xdr:row>22</xdr:row>
      <xdr:rowOff>38100</xdr:rowOff>
    </xdr:to>
    <xdr:sp macro="" textlink="">
      <xdr:nvSpPr>
        <xdr:cNvPr id="7197" name="AutoShape 29"/>
        <xdr:cNvSpPr>
          <a:spLocks noChangeArrowheads="1"/>
        </xdr:cNvSpPr>
      </xdr:nvSpPr>
      <xdr:spPr bwMode="auto">
        <a:xfrm>
          <a:off x="4057650" y="3067050"/>
          <a:ext cx="161925" cy="514350"/>
        </a:xfrm>
        <a:prstGeom prst="downArrow">
          <a:avLst>
            <a:gd name="adj1" fmla="val 50000"/>
            <a:gd name="adj2" fmla="val 79412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161925</xdr:colOff>
      <xdr:row>23</xdr:row>
      <xdr:rowOff>47625</xdr:rowOff>
    </xdr:from>
    <xdr:to>
      <xdr:col>4</xdr:col>
      <xdr:colOff>161925</xdr:colOff>
      <xdr:row>33</xdr:row>
      <xdr:rowOff>104775</xdr:rowOff>
    </xdr:to>
    <xdr:pic>
      <xdr:nvPicPr>
        <xdr:cNvPr id="7198" name="Picture 30" descr="IMG_23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61925" y="3752850"/>
          <a:ext cx="2428875" cy="1714500"/>
        </a:xfrm>
        <a:prstGeom prst="rect">
          <a:avLst/>
        </a:prstGeom>
        <a:noFill/>
        <a:ln w="1270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133350</xdr:rowOff>
    </xdr:from>
    <xdr:to>
      <xdr:col>0</xdr:col>
      <xdr:colOff>581025</xdr:colOff>
      <xdr:row>20</xdr:row>
      <xdr:rowOff>57150</xdr:rowOff>
    </xdr:to>
    <xdr:sp macro="" textlink="">
      <xdr:nvSpPr>
        <xdr:cNvPr id="11265" name="WordArt 1"/>
        <xdr:cNvSpPr>
          <a:spLocks noChangeArrowheads="1" noChangeShapeType="1" noTextEdit="1"/>
        </xdr:cNvSpPr>
      </xdr:nvSpPr>
      <xdr:spPr bwMode="auto">
        <a:xfrm rot="5400000">
          <a:off x="-1252537" y="1481137"/>
          <a:ext cx="3181350" cy="48577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2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/>
              <a:latin typeface="Arial"/>
              <a:cs typeface="Arial"/>
            </a:rPr>
            <a:t>Плотность</a:t>
          </a:r>
        </a:p>
      </xdr:txBody>
    </xdr:sp>
    <xdr:clientData/>
  </xdr:twoCellAnchor>
  <xdr:twoCellAnchor>
    <xdr:from>
      <xdr:col>4</xdr:col>
      <xdr:colOff>66675</xdr:colOff>
      <xdr:row>0</xdr:row>
      <xdr:rowOff>152400</xdr:rowOff>
    </xdr:from>
    <xdr:to>
      <xdr:col>4</xdr:col>
      <xdr:colOff>552450</xdr:colOff>
      <xdr:row>20</xdr:row>
      <xdr:rowOff>76200</xdr:rowOff>
    </xdr:to>
    <xdr:sp macro="" textlink="">
      <xdr:nvSpPr>
        <xdr:cNvPr id="11266" name="WordArt 2"/>
        <xdr:cNvSpPr>
          <a:spLocks noChangeArrowheads="1" noChangeShapeType="1" noTextEdit="1"/>
        </xdr:cNvSpPr>
      </xdr:nvSpPr>
      <xdr:spPr bwMode="auto">
        <a:xfrm rot="5400000">
          <a:off x="1881188" y="1500187"/>
          <a:ext cx="3181350" cy="48577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2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/>
              <a:latin typeface="Arial"/>
              <a:cs typeface="Arial"/>
            </a:rPr>
            <a:t>Плотность</a:t>
          </a:r>
        </a:p>
      </xdr:txBody>
    </xdr:sp>
    <xdr:clientData/>
  </xdr:twoCellAnchor>
  <xdr:twoCellAnchor>
    <xdr:from>
      <xdr:col>8</xdr:col>
      <xdr:colOff>123825</xdr:colOff>
      <xdr:row>1</xdr:row>
      <xdr:rowOff>0</xdr:rowOff>
    </xdr:from>
    <xdr:to>
      <xdr:col>9</xdr:col>
      <xdr:colOff>0</xdr:colOff>
      <xdr:row>20</xdr:row>
      <xdr:rowOff>95250</xdr:rowOff>
    </xdr:to>
    <xdr:sp macro="" textlink="">
      <xdr:nvSpPr>
        <xdr:cNvPr id="11267" name="WordArt 3"/>
        <xdr:cNvSpPr>
          <a:spLocks noChangeArrowheads="1" noChangeShapeType="1" noTextEdit="1"/>
        </xdr:cNvSpPr>
      </xdr:nvSpPr>
      <xdr:spPr bwMode="auto">
        <a:xfrm rot="5400000">
          <a:off x="5119688" y="1519237"/>
          <a:ext cx="3181350" cy="48577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200" b="1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FFFFFF"/>
              </a:solidFill>
              <a:effectLst/>
              <a:latin typeface="Arial"/>
              <a:cs typeface="Arial"/>
            </a:rPr>
            <a:t>Плотность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1</xdr:row>
      <xdr:rowOff>66675</xdr:rowOff>
    </xdr:from>
    <xdr:to>
      <xdr:col>7</xdr:col>
      <xdr:colOff>419100</xdr:colOff>
      <xdr:row>23</xdr:row>
      <xdr:rowOff>142875</xdr:rowOff>
    </xdr:to>
    <xdr:sp macro="" textlink="">
      <xdr:nvSpPr>
        <xdr:cNvPr id="2049" name="WordArt 1" descr="Песок"/>
        <xdr:cNvSpPr>
          <a:spLocks noChangeArrowheads="1" noChangeShapeType="1" noTextEdit="1"/>
        </xdr:cNvSpPr>
      </xdr:nvSpPr>
      <xdr:spPr bwMode="auto">
        <a:xfrm rot="5400000">
          <a:off x="1747838" y="1766887"/>
          <a:ext cx="3638550" cy="39052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600" b="1" kern="10" spc="0">
              <a:ln w="12700">
                <a:solidFill>
                  <a:srgbClr val="C4B596"/>
                </a:solidFill>
                <a:round/>
                <a:headEnd/>
                <a:tailEnd/>
              </a:ln>
              <a:blipFill dpi="0" rotWithShape="0">
                <a:blip xmlns:r="http://schemas.openxmlformats.org/officeDocument/2006/relationships" r:embed="rId1"/>
                <a:srcRect/>
                <a:tile tx="0" ty="0" sx="100000" sy="100000" flip="none" algn="tl"/>
              </a:blipFill>
              <a:effectLst>
                <a:outerShdw dist="53882" dir="2700000" algn="ctr" rotWithShape="0">
                  <a:srgbClr val="CBCBCB"/>
                </a:outerShdw>
              </a:effectLst>
              <a:latin typeface="Arial"/>
              <a:cs typeface="Arial"/>
            </a:rPr>
            <a:t>Плотность воды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9525</xdr:colOff>
      <xdr:row>1</xdr:row>
      <xdr:rowOff>38100</xdr:rowOff>
    </xdr:from>
    <xdr:to>
      <xdr:col>23</xdr:col>
      <xdr:colOff>123825</xdr:colOff>
      <xdr:row>8</xdr:row>
      <xdr:rowOff>38100</xdr:rowOff>
    </xdr:to>
    <xdr:sp macro="" textlink="">
      <xdr:nvSpPr>
        <xdr:cNvPr id="3075" name="Oval 3"/>
        <xdr:cNvSpPr>
          <a:spLocks noChangeArrowheads="1"/>
        </xdr:cNvSpPr>
      </xdr:nvSpPr>
      <xdr:spPr bwMode="auto">
        <a:xfrm>
          <a:off x="6067425" y="200025"/>
          <a:ext cx="1095375" cy="1171575"/>
        </a:xfrm>
        <a:prstGeom prst="ellipse">
          <a:avLst/>
        </a:prstGeom>
        <a:gradFill rotWithShape="0">
          <a:gsLst>
            <a:gs pos="0">
              <a:srgbClr val="FFFF99"/>
            </a:gs>
            <a:gs pos="100000">
              <a:srgbClr val="99CCFF"/>
            </a:gs>
          </a:gsLst>
          <a:path path="shape">
            <a:fillToRect l="50000" t="50000" r="50000" b="50000"/>
          </a:path>
        </a:gradFill>
        <a:ln w="9525">
          <a:noFill/>
          <a:round/>
          <a:headEnd/>
          <a:tailEnd/>
        </a:ln>
      </xdr:spPr>
    </xdr:sp>
    <xdr:clientData/>
  </xdr:twoCellAnchor>
  <xdr:twoCellAnchor>
    <xdr:from>
      <xdr:col>20</xdr:col>
      <xdr:colOff>371475</xdr:colOff>
      <xdr:row>0</xdr:row>
      <xdr:rowOff>123825</xdr:rowOff>
    </xdr:from>
    <xdr:to>
      <xdr:col>22</xdr:col>
      <xdr:colOff>504825</xdr:colOff>
      <xdr:row>4</xdr:row>
      <xdr:rowOff>38100</xdr:rowOff>
    </xdr:to>
    <xdr:sp macro="" textlink="">
      <xdr:nvSpPr>
        <xdr:cNvPr id="3074" name="Freeform 2"/>
        <xdr:cNvSpPr>
          <a:spLocks/>
        </xdr:cNvSpPr>
      </xdr:nvSpPr>
      <xdr:spPr bwMode="auto">
        <a:xfrm>
          <a:off x="6019800" y="123825"/>
          <a:ext cx="914400" cy="600075"/>
        </a:xfrm>
        <a:custGeom>
          <a:avLst/>
          <a:gdLst/>
          <a:ahLst/>
          <a:cxnLst>
            <a:cxn ang="0">
              <a:pos x="0" y="30"/>
            </a:cxn>
            <a:cxn ang="0">
              <a:pos x="3" y="11"/>
            </a:cxn>
            <a:cxn ang="0">
              <a:pos x="15" y="5"/>
            </a:cxn>
            <a:cxn ang="0">
              <a:pos x="43" y="9"/>
            </a:cxn>
            <a:cxn ang="0">
              <a:pos x="55" y="2"/>
            </a:cxn>
            <a:cxn ang="0">
              <a:pos x="63" y="0"/>
            </a:cxn>
            <a:cxn ang="0">
              <a:pos x="94" y="19"/>
            </a:cxn>
            <a:cxn ang="0">
              <a:pos x="91" y="38"/>
            </a:cxn>
            <a:cxn ang="0">
              <a:pos x="76" y="48"/>
            </a:cxn>
            <a:cxn ang="0">
              <a:pos x="51" y="63"/>
            </a:cxn>
            <a:cxn ang="0">
              <a:pos x="24" y="58"/>
            </a:cxn>
            <a:cxn ang="0">
              <a:pos x="13" y="45"/>
            </a:cxn>
            <a:cxn ang="0">
              <a:pos x="0" y="30"/>
            </a:cxn>
          </a:cxnLst>
          <a:rect l="0" t="0" r="r" b="b"/>
          <a:pathLst>
            <a:path w="96" h="63">
              <a:moveTo>
                <a:pt x="0" y="30"/>
              </a:moveTo>
              <a:cubicBezTo>
                <a:pt x="1" y="15"/>
                <a:pt x="0" y="21"/>
                <a:pt x="3" y="11"/>
              </a:cubicBezTo>
              <a:cubicBezTo>
                <a:pt x="4" y="7"/>
                <a:pt x="15" y="5"/>
                <a:pt x="15" y="5"/>
              </a:cubicBezTo>
              <a:cubicBezTo>
                <a:pt x="35" y="6"/>
                <a:pt x="31" y="5"/>
                <a:pt x="43" y="9"/>
              </a:cubicBezTo>
              <a:cubicBezTo>
                <a:pt x="46" y="6"/>
                <a:pt x="51" y="3"/>
                <a:pt x="55" y="2"/>
              </a:cubicBezTo>
              <a:cubicBezTo>
                <a:pt x="58" y="1"/>
                <a:pt x="63" y="0"/>
                <a:pt x="63" y="0"/>
              </a:cubicBezTo>
              <a:cubicBezTo>
                <a:pt x="83" y="1"/>
                <a:pt x="91" y="0"/>
                <a:pt x="94" y="19"/>
              </a:cubicBezTo>
              <a:cubicBezTo>
                <a:pt x="93" y="27"/>
                <a:pt x="96" y="33"/>
                <a:pt x="91" y="38"/>
              </a:cubicBezTo>
              <a:cubicBezTo>
                <a:pt x="87" y="42"/>
                <a:pt x="76" y="48"/>
                <a:pt x="76" y="48"/>
              </a:cubicBezTo>
              <a:cubicBezTo>
                <a:pt x="65" y="46"/>
                <a:pt x="61" y="60"/>
                <a:pt x="51" y="63"/>
              </a:cubicBezTo>
              <a:cubicBezTo>
                <a:pt x="41" y="62"/>
                <a:pt x="33" y="60"/>
                <a:pt x="24" y="58"/>
              </a:cubicBezTo>
              <a:cubicBezTo>
                <a:pt x="21" y="49"/>
                <a:pt x="23" y="46"/>
                <a:pt x="13" y="45"/>
              </a:cubicBezTo>
              <a:cubicBezTo>
                <a:pt x="6" y="40"/>
                <a:pt x="5" y="35"/>
                <a:pt x="0" y="30"/>
              </a:cubicBezTo>
              <a:close/>
            </a:path>
          </a:pathLst>
        </a:custGeom>
        <a:gradFill rotWithShape="0">
          <a:gsLst>
            <a:gs pos="0">
              <a:srgbClr val="FFFFFF"/>
            </a:gs>
            <a:gs pos="100000">
              <a:srgbClr val="FFFFFF">
                <a:gamma/>
                <a:shade val="75686"/>
                <a:invGamma/>
              </a:srgbClr>
            </a:gs>
          </a:gsLst>
          <a:path path="rect">
            <a:fillToRect l="50000" t="50000" r="50000" b="50000"/>
          </a:path>
        </a:gradFill>
        <a:ln w="9525">
          <a:solidFill>
            <a:srgbClr val="FFFFFF"/>
          </a:solidFill>
          <a:round/>
          <a:headEnd/>
          <a:tailEnd/>
        </a:ln>
      </xdr:spPr>
    </xdr:sp>
    <xdr:clientData/>
  </xdr:twoCellAnchor>
  <xdr:twoCellAnchor>
    <xdr:from>
      <xdr:col>21</xdr:col>
      <xdr:colOff>342900</xdr:colOff>
      <xdr:row>9</xdr:row>
      <xdr:rowOff>9525</xdr:rowOff>
    </xdr:from>
    <xdr:to>
      <xdr:col>22</xdr:col>
      <xdr:colOff>295275</xdr:colOff>
      <xdr:row>10</xdr:row>
      <xdr:rowOff>47625</xdr:rowOff>
    </xdr:to>
    <xdr:grpSp>
      <xdr:nvGrpSpPr>
        <xdr:cNvPr id="3078" name="Group 6"/>
        <xdr:cNvGrpSpPr>
          <a:grpSpLocks/>
        </xdr:cNvGrpSpPr>
      </xdr:nvGrpSpPr>
      <xdr:grpSpPr bwMode="auto">
        <a:xfrm>
          <a:off x="6417129" y="1517196"/>
          <a:ext cx="322489" cy="201386"/>
          <a:chOff x="672" y="158"/>
          <a:chExt cx="34" cy="21"/>
        </a:xfrm>
      </xdr:grpSpPr>
      <xdr:sp macro="" textlink="">
        <xdr:nvSpPr>
          <xdr:cNvPr id="3076" name="AutoShape 4"/>
          <xdr:cNvSpPr>
            <a:spLocks noChangeArrowheads="1"/>
          </xdr:cNvSpPr>
        </xdr:nvSpPr>
        <xdr:spPr bwMode="auto">
          <a:xfrm rot="3742372">
            <a:off x="679" y="164"/>
            <a:ext cx="8" cy="22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077" name="AutoShape 5"/>
          <xdr:cNvSpPr>
            <a:spLocks noChangeArrowheads="1"/>
          </xdr:cNvSpPr>
        </xdr:nvSpPr>
        <xdr:spPr bwMode="auto">
          <a:xfrm rot="3742372">
            <a:off x="693" y="155"/>
            <a:ext cx="9" cy="16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22</xdr:col>
      <xdr:colOff>28575</xdr:colOff>
      <xdr:row>7</xdr:row>
      <xdr:rowOff>28575</xdr:rowOff>
    </xdr:from>
    <xdr:to>
      <xdr:col>22</xdr:col>
      <xdr:colOff>257175</xdr:colOff>
      <xdr:row>7</xdr:row>
      <xdr:rowOff>152400</xdr:rowOff>
    </xdr:to>
    <xdr:grpSp>
      <xdr:nvGrpSpPr>
        <xdr:cNvPr id="3079" name="Group 7"/>
        <xdr:cNvGrpSpPr>
          <a:grpSpLocks/>
        </xdr:cNvGrpSpPr>
      </xdr:nvGrpSpPr>
      <xdr:grpSpPr bwMode="auto">
        <a:xfrm>
          <a:off x="6472918" y="1209675"/>
          <a:ext cx="228600" cy="123825"/>
          <a:chOff x="672" y="158"/>
          <a:chExt cx="34" cy="21"/>
        </a:xfrm>
      </xdr:grpSpPr>
      <xdr:sp macro="" textlink="">
        <xdr:nvSpPr>
          <xdr:cNvPr id="3080" name="AutoShape 8"/>
          <xdr:cNvSpPr>
            <a:spLocks noChangeArrowheads="1"/>
          </xdr:cNvSpPr>
        </xdr:nvSpPr>
        <xdr:spPr bwMode="auto">
          <a:xfrm rot="3742372">
            <a:off x="679" y="164"/>
            <a:ext cx="8" cy="22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081" name="AutoShape 9"/>
          <xdr:cNvSpPr>
            <a:spLocks noChangeArrowheads="1"/>
          </xdr:cNvSpPr>
        </xdr:nvSpPr>
        <xdr:spPr bwMode="auto">
          <a:xfrm rot="3742372">
            <a:off x="693" y="155"/>
            <a:ext cx="9" cy="16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22</xdr:col>
      <xdr:colOff>209550</xdr:colOff>
      <xdr:row>5</xdr:row>
      <xdr:rowOff>133350</xdr:rowOff>
    </xdr:from>
    <xdr:to>
      <xdr:col>22</xdr:col>
      <xdr:colOff>419100</xdr:colOff>
      <xdr:row>6</xdr:row>
      <xdr:rowOff>85725</xdr:rowOff>
    </xdr:to>
    <xdr:grpSp>
      <xdr:nvGrpSpPr>
        <xdr:cNvPr id="3082" name="Group 10"/>
        <xdr:cNvGrpSpPr>
          <a:grpSpLocks/>
        </xdr:cNvGrpSpPr>
      </xdr:nvGrpSpPr>
      <xdr:grpSpPr bwMode="auto">
        <a:xfrm rot="1716628">
          <a:off x="6653893" y="987879"/>
          <a:ext cx="209550" cy="115660"/>
          <a:chOff x="672" y="158"/>
          <a:chExt cx="34" cy="21"/>
        </a:xfrm>
      </xdr:grpSpPr>
      <xdr:sp macro="" textlink="">
        <xdr:nvSpPr>
          <xdr:cNvPr id="3083" name="AutoShape 11"/>
          <xdr:cNvSpPr>
            <a:spLocks noChangeArrowheads="1"/>
          </xdr:cNvSpPr>
        </xdr:nvSpPr>
        <xdr:spPr bwMode="auto">
          <a:xfrm rot="3742372">
            <a:off x="679" y="164"/>
            <a:ext cx="8" cy="22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084" name="AutoShape 12"/>
          <xdr:cNvSpPr>
            <a:spLocks noChangeArrowheads="1"/>
          </xdr:cNvSpPr>
        </xdr:nvSpPr>
        <xdr:spPr bwMode="auto">
          <a:xfrm rot="3742372">
            <a:off x="693" y="155"/>
            <a:ext cx="9" cy="16"/>
          </a:xfrm>
          <a:prstGeom prst="moon">
            <a:avLst>
              <a:gd name="adj" fmla="val 50000"/>
            </a:avLst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361950</xdr:colOff>
      <xdr:row>9</xdr:row>
      <xdr:rowOff>152400</xdr:rowOff>
    </xdr:from>
    <xdr:to>
      <xdr:col>10</xdr:col>
      <xdr:colOff>285750</xdr:colOff>
      <xdr:row>12</xdr:row>
      <xdr:rowOff>142875</xdr:rowOff>
    </xdr:to>
    <xdr:sp macro="" textlink="">
      <xdr:nvSpPr>
        <xdr:cNvPr id="8193" name="WordArt 1"/>
        <xdr:cNvSpPr>
          <a:spLocks noChangeArrowheads="1" noChangeShapeType="1" noTextEdit="1"/>
        </xdr:cNvSpPr>
      </xdr:nvSpPr>
      <xdr:spPr bwMode="auto">
        <a:xfrm>
          <a:off x="581025" y="2019300"/>
          <a:ext cx="6076950" cy="476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ru-RU" sz="3600" kern="10" spc="72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rPr>
            <a:t>ПЛОТНОСТЬ ГАЗОВ ДАЕТСЯ</a:t>
          </a:r>
        </a:p>
        <a:p>
          <a:pPr algn="ctr" rtl="0"/>
          <a:r>
            <a:rPr lang="ru-RU" sz="3600" kern="10" spc="72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rPr>
            <a:t> ПРИ 0 °С и 760 мм рт.ст.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1</xdr:row>
      <xdr:rowOff>228600</xdr:rowOff>
    </xdr:from>
    <xdr:to>
      <xdr:col>11</xdr:col>
      <xdr:colOff>390525</xdr:colOff>
      <xdr:row>19</xdr:row>
      <xdr:rowOff>66675</xdr:rowOff>
    </xdr:to>
    <xdr:sp macro="" textlink="">
      <xdr:nvSpPr>
        <xdr:cNvPr id="5121" name="WordArt 1" descr="Песок"/>
        <xdr:cNvSpPr>
          <a:spLocks noChangeArrowheads="1" noChangeShapeType="1" noTextEdit="1"/>
        </xdr:cNvSpPr>
      </xdr:nvSpPr>
      <xdr:spPr bwMode="auto">
        <a:xfrm rot="5400000">
          <a:off x="5505450" y="1704975"/>
          <a:ext cx="2990850" cy="3810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600" kern="10" spc="0">
              <a:ln w="12700">
                <a:solidFill>
                  <a:srgbClr val="C4B596"/>
                </a:solidFill>
                <a:round/>
                <a:headEnd/>
                <a:tailEnd/>
              </a:ln>
              <a:blipFill dpi="0" rotWithShape="0">
                <a:blip xmlns:r="http://schemas.openxmlformats.org/officeDocument/2006/relationships" r:embed="rId1"/>
                <a:srcRect/>
                <a:tile tx="0" ty="0" sx="100000" sy="100000" flip="none" algn="tl"/>
              </a:blipFill>
              <a:effectLst>
                <a:outerShdw dist="53882" dir="2700000" algn="ctr" rotWithShape="0">
                  <a:srgbClr val="CBCBCB"/>
                </a:outerShdw>
              </a:effectLst>
              <a:latin typeface="Times New Roman"/>
              <a:cs typeface="Times New Roman"/>
            </a:rPr>
            <a:t>ВОДА * ВОДА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0</xdr:row>
      <xdr:rowOff>76200</xdr:rowOff>
    </xdr:from>
    <xdr:to>
      <xdr:col>6</xdr:col>
      <xdr:colOff>457200</xdr:colOff>
      <xdr:row>19</xdr:row>
      <xdr:rowOff>142875</xdr:rowOff>
    </xdr:to>
    <xdr:sp macro="" textlink="">
      <xdr:nvSpPr>
        <xdr:cNvPr id="1026" name="WordArt 2"/>
        <xdr:cNvSpPr>
          <a:spLocks noChangeArrowheads="1" noChangeShapeType="1" noTextEdit="1"/>
        </xdr:cNvSpPr>
      </xdr:nvSpPr>
      <xdr:spPr bwMode="auto">
        <a:xfrm rot="5400000">
          <a:off x="2014537" y="1595438"/>
          <a:ext cx="3305175" cy="2667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600" kern="10" spc="0">
              <a:ln w="12700">
                <a:solidFill>
                  <a:srgbClr val="C4B596"/>
                </a:solidFill>
                <a:round/>
                <a:headEnd/>
                <a:tailEnd/>
              </a:ln>
              <a:solidFill>
                <a:srgbClr val="993366"/>
              </a:solidFill>
              <a:effectLst>
                <a:outerShdw dist="53882" dir="2700000" algn="ctr" rotWithShape="0">
                  <a:srgbClr val="CBCBCB"/>
                </a:outerShdw>
              </a:effectLst>
              <a:latin typeface="Times New Roman"/>
              <a:cs typeface="Times New Roman"/>
            </a:rPr>
            <a:t>Свойства насыщенного водяного пара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13</xdr:row>
      <xdr:rowOff>9525</xdr:rowOff>
    </xdr:from>
    <xdr:to>
      <xdr:col>9</xdr:col>
      <xdr:colOff>285750</xdr:colOff>
      <xdr:row>21</xdr:row>
      <xdr:rowOff>57150</xdr:rowOff>
    </xdr:to>
    <xdr:grpSp>
      <xdr:nvGrpSpPr>
        <xdr:cNvPr id="12293" name="Group 5"/>
        <xdr:cNvGrpSpPr>
          <a:grpSpLocks/>
        </xdr:cNvGrpSpPr>
      </xdr:nvGrpSpPr>
      <xdr:grpSpPr bwMode="auto">
        <a:xfrm>
          <a:off x="6434818" y="2154011"/>
          <a:ext cx="561975" cy="1353910"/>
          <a:chOff x="649" y="162"/>
          <a:chExt cx="59" cy="141"/>
        </a:xfrm>
      </xdr:grpSpPr>
      <xdr:sp macro="" textlink="">
        <xdr:nvSpPr>
          <xdr:cNvPr id="12289" name="AutoShape 1"/>
          <xdr:cNvSpPr>
            <a:spLocks noChangeArrowheads="1"/>
          </xdr:cNvSpPr>
        </xdr:nvSpPr>
        <xdr:spPr bwMode="auto">
          <a:xfrm>
            <a:off x="649" y="176"/>
            <a:ext cx="59" cy="127"/>
          </a:xfrm>
          <a:prstGeom prst="can">
            <a:avLst>
              <a:gd name="adj" fmla="val 53814"/>
            </a:avLst>
          </a:prstGeom>
          <a:gradFill rotWithShape="0">
            <a:gsLst>
              <a:gs pos="0">
                <a:srgbClr val="000000"/>
              </a:gs>
              <a:gs pos="50000">
                <a:srgbClr val="FFFFFF"/>
              </a:gs>
              <a:gs pos="100000">
                <a:srgbClr val="000000"/>
              </a:gs>
            </a:gsLst>
            <a:lin ang="0" scaled="1"/>
          </a:gradFill>
          <a:ln w="9525">
            <a:solidFill>
              <a:srgbClr val="000000"/>
            </a:solidFill>
            <a:round/>
            <a:headEnd/>
            <a:tailEnd/>
          </a:ln>
          <a:effectLst>
            <a:outerShdw dist="107763" dir="2700000" algn="ctr" rotWithShape="0">
              <a:srgbClr val="808080"/>
            </a:outerShdw>
          </a:effectLst>
        </xdr:spPr>
      </xdr:sp>
      <xdr:sp macro="" textlink="">
        <xdr:nvSpPr>
          <xdr:cNvPr id="12291" name="Oval 3"/>
          <xdr:cNvSpPr>
            <a:spLocks noChangeArrowheads="1"/>
          </xdr:cNvSpPr>
        </xdr:nvSpPr>
        <xdr:spPr bwMode="auto">
          <a:xfrm>
            <a:off x="650" y="177"/>
            <a:ext cx="56" cy="31"/>
          </a:xfrm>
          <a:prstGeom prst="ellipse">
            <a:avLst/>
          </a:prstGeom>
          <a:gradFill rotWithShape="0">
            <a:gsLst>
              <a:gs pos="0">
                <a:srgbClr val="000000"/>
              </a:gs>
              <a:gs pos="100000">
                <a:srgbClr val="FFFFFF"/>
              </a:gs>
            </a:gsLst>
            <a:path path="shape">
              <a:fillToRect l="50000" t="50000" r="50000" b="50000"/>
            </a:path>
          </a:gra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290" name="Oval 2"/>
          <xdr:cNvSpPr>
            <a:spLocks noChangeArrowheads="1"/>
          </xdr:cNvSpPr>
        </xdr:nvSpPr>
        <xdr:spPr bwMode="auto">
          <a:xfrm>
            <a:off x="661" y="162"/>
            <a:ext cx="36" cy="28"/>
          </a:xfrm>
          <a:prstGeom prst="ellipse">
            <a:avLst/>
          </a:prstGeom>
          <a:gradFill rotWithShape="0">
            <a:gsLst>
              <a:gs pos="0">
                <a:srgbClr val="FFFFFF"/>
              </a:gs>
              <a:gs pos="100000">
                <a:srgbClr val="00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val="000000"/>
            </a:solidFill>
            <a:round/>
            <a:headEnd/>
            <a:tailEnd/>
          </a:ln>
          <a:effectLst>
            <a:outerShdw dist="35921" dir="2700000" algn="ctr" rotWithShape="0">
              <a:srgbClr val="808080"/>
            </a:outerShdw>
          </a:effectLst>
        </xdr:spPr>
      </xdr:sp>
      <xdr:sp macro="" textlink="">
        <xdr:nvSpPr>
          <xdr:cNvPr id="12292" name="WordArt 4"/>
          <xdr:cNvSpPr>
            <a:spLocks noChangeArrowheads="1" noChangeShapeType="1" noTextEdit="1"/>
          </xdr:cNvSpPr>
        </xdr:nvSpPr>
        <xdr:spPr bwMode="auto">
          <a:xfrm>
            <a:off x="649" y="237"/>
            <a:ext cx="52" cy="55"/>
          </a:xfrm>
          <a:prstGeom prst="rect">
            <a:avLst/>
          </a:prstGeom>
        </xdr:spPr>
        <xdr:txBody>
          <a:bodyPr wrap="none" fromWordArt="1">
            <a:prstTxWarp prst="textCanDown">
              <a:avLst>
                <a:gd name="adj" fmla="val 33333"/>
              </a:avLst>
            </a:prstTxWarp>
          </a:bodyPr>
          <a:lstStyle/>
          <a:p>
            <a:pPr algn="ctr" rtl="0"/>
            <a:r>
              <a:rPr lang="en-US" sz="3600" b="1" kern="10" spc="720">
                <a:ln w="9525">
                  <a:noFill/>
                  <a:round/>
                  <a:headEnd/>
                  <a:tailEnd/>
                </a:ln>
                <a:gradFill rotWithShape="0">
                  <a:gsLst>
                    <a:gs pos="0">
                      <a:srgbClr val="AAAAAA"/>
                    </a:gs>
                    <a:gs pos="100000">
                      <a:srgbClr val="FFFFFF"/>
                    </a:gs>
                  </a:gsLst>
                  <a:lin ang="5400000" scaled="1"/>
                </a:gradFill>
                <a:effectLst>
                  <a:outerShdw dist="45791" dir="3378596" algn="ctr" rotWithShape="0">
                    <a:srgbClr val="4D4D4D"/>
                  </a:outerShdw>
                </a:effectLst>
                <a:latin typeface="Arial"/>
                <a:cs typeface="Arial"/>
              </a:rPr>
              <a:t> 1kg.</a:t>
            </a:r>
            <a:endParaRPr lang="ru-RU" sz="3600" b="1" kern="10" spc="72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781050</xdr:colOff>
      <xdr:row>1</xdr:row>
      <xdr:rowOff>28575</xdr:rowOff>
    </xdr:from>
    <xdr:to>
      <xdr:col>6</xdr:col>
      <xdr:colOff>66675</xdr:colOff>
      <xdr:row>1</xdr:row>
      <xdr:rowOff>152400</xdr:rowOff>
    </xdr:to>
    <xdr:grpSp>
      <xdr:nvGrpSpPr>
        <xdr:cNvPr id="24577" name="Group 1"/>
        <xdr:cNvGrpSpPr>
          <a:grpSpLocks/>
        </xdr:cNvGrpSpPr>
      </xdr:nvGrpSpPr>
      <xdr:grpSpPr bwMode="auto">
        <a:xfrm>
          <a:off x="4681287" y="199022"/>
          <a:ext cx="102770" cy="123825"/>
          <a:chOff x="418" y="17"/>
          <a:chExt cx="11" cy="15"/>
        </a:xfrm>
      </xdr:grpSpPr>
      <xdr:sp macro="" textlink="">
        <xdr:nvSpPr>
          <xdr:cNvPr id="24578" name="Line 2"/>
          <xdr:cNvSpPr>
            <a:spLocks noChangeShapeType="1"/>
          </xdr:cNvSpPr>
        </xdr:nvSpPr>
        <xdr:spPr bwMode="auto">
          <a:xfrm flipH="1">
            <a:off x="418" y="23"/>
            <a:ext cx="5" cy="9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4579" name="Line 3"/>
          <xdr:cNvSpPr>
            <a:spLocks noChangeShapeType="1"/>
          </xdr:cNvSpPr>
        </xdr:nvSpPr>
        <xdr:spPr bwMode="auto">
          <a:xfrm>
            <a:off x="419" y="17"/>
            <a:ext cx="10" cy="15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2</xdr:row>
      <xdr:rowOff>28575</xdr:rowOff>
    </xdr:from>
    <xdr:to>
      <xdr:col>10</xdr:col>
      <xdr:colOff>190500</xdr:colOff>
      <xdr:row>5</xdr:row>
      <xdr:rowOff>133350</xdr:rowOff>
    </xdr:to>
    <xdr:grpSp>
      <xdr:nvGrpSpPr>
        <xdr:cNvPr id="24580" name="Group 4"/>
        <xdr:cNvGrpSpPr>
          <a:grpSpLocks/>
        </xdr:cNvGrpSpPr>
      </xdr:nvGrpSpPr>
      <xdr:grpSpPr bwMode="auto">
        <a:xfrm>
          <a:off x="5725528" y="369470"/>
          <a:ext cx="1844340" cy="586038"/>
          <a:chOff x="602" y="39"/>
          <a:chExt cx="193" cy="62"/>
        </a:xfrm>
      </xdr:grpSpPr>
      <xdr:sp macro="" textlink="">
        <xdr:nvSpPr>
          <xdr:cNvPr id="24581" name="Rectangle 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2" name="Rectangle 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3" name="Rectangle 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4" name="Rectangle 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190500</xdr:colOff>
      <xdr:row>5</xdr:row>
      <xdr:rowOff>152400</xdr:rowOff>
    </xdr:from>
    <xdr:to>
      <xdr:col>10</xdr:col>
      <xdr:colOff>200025</xdr:colOff>
      <xdr:row>9</xdr:row>
      <xdr:rowOff>95250</xdr:rowOff>
    </xdr:to>
    <xdr:grpSp>
      <xdr:nvGrpSpPr>
        <xdr:cNvPr id="24585" name="Group 9"/>
        <xdr:cNvGrpSpPr>
          <a:grpSpLocks/>
        </xdr:cNvGrpSpPr>
      </xdr:nvGrpSpPr>
      <xdr:grpSpPr bwMode="auto">
        <a:xfrm>
          <a:off x="5735053" y="974558"/>
          <a:ext cx="1844340" cy="584534"/>
          <a:chOff x="602" y="39"/>
          <a:chExt cx="193" cy="62"/>
        </a:xfrm>
      </xdr:grpSpPr>
      <xdr:sp macro="" textlink="">
        <xdr:nvSpPr>
          <xdr:cNvPr id="24586" name="Rectangle 1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7" name="Rectangle 1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8" name="Rectangle 1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89" name="Rectangle 1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190500</xdr:colOff>
      <xdr:row>9</xdr:row>
      <xdr:rowOff>123825</xdr:rowOff>
    </xdr:from>
    <xdr:to>
      <xdr:col>10</xdr:col>
      <xdr:colOff>200025</xdr:colOff>
      <xdr:row>13</xdr:row>
      <xdr:rowOff>66675</xdr:rowOff>
    </xdr:to>
    <xdr:grpSp>
      <xdr:nvGrpSpPr>
        <xdr:cNvPr id="24590" name="Group 14"/>
        <xdr:cNvGrpSpPr>
          <a:grpSpLocks/>
        </xdr:cNvGrpSpPr>
      </xdr:nvGrpSpPr>
      <xdr:grpSpPr bwMode="auto">
        <a:xfrm>
          <a:off x="5735053" y="1587667"/>
          <a:ext cx="1844340" cy="584534"/>
          <a:chOff x="602" y="39"/>
          <a:chExt cx="193" cy="62"/>
        </a:xfrm>
      </xdr:grpSpPr>
      <xdr:sp macro="" textlink="">
        <xdr:nvSpPr>
          <xdr:cNvPr id="24591" name="Rectangle 1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2" name="Rectangle 1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3" name="Rectangle 1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4" name="Rectangle 1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13</xdr:row>
      <xdr:rowOff>85725</xdr:rowOff>
    </xdr:from>
    <xdr:to>
      <xdr:col>10</xdr:col>
      <xdr:colOff>190500</xdr:colOff>
      <xdr:row>17</xdr:row>
      <xdr:rowOff>28575</xdr:rowOff>
    </xdr:to>
    <xdr:grpSp>
      <xdr:nvGrpSpPr>
        <xdr:cNvPr id="24595" name="Group 19"/>
        <xdr:cNvGrpSpPr>
          <a:grpSpLocks/>
        </xdr:cNvGrpSpPr>
      </xdr:nvGrpSpPr>
      <xdr:grpSpPr bwMode="auto">
        <a:xfrm>
          <a:off x="5725528" y="2191251"/>
          <a:ext cx="1844340" cy="584535"/>
          <a:chOff x="602" y="39"/>
          <a:chExt cx="193" cy="62"/>
        </a:xfrm>
      </xdr:grpSpPr>
      <xdr:sp macro="" textlink="">
        <xdr:nvSpPr>
          <xdr:cNvPr id="24596" name="Rectangle 2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7" name="Rectangle 2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8" name="Rectangle 2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599" name="Rectangle 2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200025</xdr:colOff>
      <xdr:row>17</xdr:row>
      <xdr:rowOff>57150</xdr:rowOff>
    </xdr:from>
    <xdr:to>
      <xdr:col>10</xdr:col>
      <xdr:colOff>209550</xdr:colOff>
      <xdr:row>21</xdr:row>
      <xdr:rowOff>0</xdr:rowOff>
    </xdr:to>
    <xdr:grpSp>
      <xdr:nvGrpSpPr>
        <xdr:cNvPr id="24600" name="Group 24"/>
        <xdr:cNvGrpSpPr>
          <a:grpSpLocks/>
        </xdr:cNvGrpSpPr>
      </xdr:nvGrpSpPr>
      <xdr:grpSpPr bwMode="auto">
        <a:xfrm>
          <a:off x="5744578" y="2804361"/>
          <a:ext cx="1844340" cy="584534"/>
          <a:chOff x="602" y="39"/>
          <a:chExt cx="193" cy="62"/>
        </a:xfrm>
      </xdr:grpSpPr>
      <xdr:sp macro="" textlink="">
        <xdr:nvSpPr>
          <xdr:cNvPr id="24601" name="Rectangle 2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2" name="Rectangle 2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3" name="Rectangle 2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4" name="Rectangle 2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190500</xdr:colOff>
      <xdr:row>21</xdr:row>
      <xdr:rowOff>28575</xdr:rowOff>
    </xdr:from>
    <xdr:to>
      <xdr:col>10</xdr:col>
      <xdr:colOff>200025</xdr:colOff>
      <xdr:row>24</xdr:row>
      <xdr:rowOff>133350</xdr:rowOff>
    </xdr:to>
    <xdr:grpSp>
      <xdr:nvGrpSpPr>
        <xdr:cNvPr id="24605" name="Group 29"/>
        <xdr:cNvGrpSpPr>
          <a:grpSpLocks/>
        </xdr:cNvGrpSpPr>
      </xdr:nvGrpSpPr>
      <xdr:grpSpPr bwMode="auto">
        <a:xfrm>
          <a:off x="5735053" y="3417470"/>
          <a:ext cx="1844340" cy="586038"/>
          <a:chOff x="602" y="39"/>
          <a:chExt cx="193" cy="62"/>
        </a:xfrm>
      </xdr:grpSpPr>
      <xdr:sp macro="" textlink="">
        <xdr:nvSpPr>
          <xdr:cNvPr id="24606" name="Rectangle 3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7" name="Rectangle 3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8" name="Rectangle 3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09" name="Rectangle 3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209550</xdr:colOff>
      <xdr:row>25</xdr:row>
      <xdr:rowOff>0</xdr:rowOff>
    </xdr:from>
    <xdr:to>
      <xdr:col>10</xdr:col>
      <xdr:colOff>219075</xdr:colOff>
      <xdr:row>28</xdr:row>
      <xdr:rowOff>104775</xdr:rowOff>
    </xdr:to>
    <xdr:grpSp>
      <xdr:nvGrpSpPr>
        <xdr:cNvPr id="24610" name="Group 34"/>
        <xdr:cNvGrpSpPr>
          <a:grpSpLocks/>
        </xdr:cNvGrpSpPr>
      </xdr:nvGrpSpPr>
      <xdr:grpSpPr bwMode="auto">
        <a:xfrm>
          <a:off x="5754103" y="4030579"/>
          <a:ext cx="1844340" cy="586038"/>
          <a:chOff x="602" y="39"/>
          <a:chExt cx="193" cy="62"/>
        </a:xfrm>
      </xdr:grpSpPr>
      <xdr:sp macro="" textlink="">
        <xdr:nvSpPr>
          <xdr:cNvPr id="24611" name="Rectangle 3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2" name="Rectangle 3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3" name="Rectangle 3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4" name="Rectangle 3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257175</xdr:colOff>
      <xdr:row>28</xdr:row>
      <xdr:rowOff>123825</xdr:rowOff>
    </xdr:from>
    <xdr:to>
      <xdr:col>10</xdr:col>
      <xdr:colOff>266700</xdr:colOff>
      <xdr:row>32</xdr:row>
      <xdr:rowOff>66675</xdr:rowOff>
    </xdr:to>
    <xdr:grpSp>
      <xdr:nvGrpSpPr>
        <xdr:cNvPr id="24615" name="Group 39"/>
        <xdr:cNvGrpSpPr>
          <a:grpSpLocks/>
        </xdr:cNvGrpSpPr>
      </xdr:nvGrpSpPr>
      <xdr:grpSpPr bwMode="auto">
        <a:xfrm>
          <a:off x="5801728" y="4635667"/>
          <a:ext cx="1844340" cy="584534"/>
          <a:chOff x="602" y="39"/>
          <a:chExt cx="193" cy="62"/>
        </a:xfrm>
      </xdr:grpSpPr>
      <xdr:sp macro="" textlink="">
        <xdr:nvSpPr>
          <xdr:cNvPr id="24616" name="Rectangle 4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7" name="Rectangle 4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8" name="Rectangle 4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19" name="Rectangle 4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257175</xdr:colOff>
      <xdr:row>32</xdr:row>
      <xdr:rowOff>85725</xdr:rowOff>
    </xdr:from>
    <xdr:to>
      <xdr:col>10</xdr:col>
      <xdr:colOff>266700</xdr:colOff>
      <xdr:row>36</xdr:row>
      <xdr:rowOff>28575</xdr:rowOff>
    </xdr:to>
    <xdr:grpSp>
      <xdr:nvGrpSpPr>
        <xdr:cNvPr id="24620" name="Group 44"/>
        <xdr:cNvGrpSpPr>
          <a:grpSpLocks/>
        </xdr:cNvGrpSpPr>
      </xdr:nvGrpSpPr>
      <xdr:grpSpPr bwMode="auto">
        <a:xfrm>
          <a:off x="5801728" y="5239251"/>
          <a:ext cx="1844340" cy="584535"/>
          <a:chOff x="602" y="39"/>
          <a:chExt cx="193" cy="62"/>
        </a:xfrm>
      </xdr:grpSpPr>
      <xdr:sp macro="" textlink="">
        <xdr:nvSpPr>
          <xdr:cNvPr id="24621" name="Rectangle 4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2" name="Rectangle 4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3" name="Rectangle 4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4" name="Rectangle 4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257175</xdr:colOff>
      <xdr:row>36</xdr:row>
      <xdr:rowOff>57150</xdr:rowOff>
    </xdr:from>
    <xdr:to>
      <xdr:col>10</xdr:col>
      <xdr:colOff>266700</xdr:colOff>
      <xdr:row>40</xdr:row>
      <xdr:rowOff>0</xdr:rowOff>
    </xdr:to>
    <xdr:grpSp>
      <xdr:nvGrpSpPr>
        <xdr:cNvPr id="24625" name="Group 49"/>
        <xdr:cNvGrpSpPr>
          <a:grpSpLocks/>
        </xdr:cNvGrpSpPr>
      </xdr:nvGrpSpPr>
      <xdr:grpSpPr bwMode="auto">
        <a:xfrm>
          <a:off x="5801728" y="5852361"/>
          <a:ext cx="1844340" cy="584534"/>
          <a:chOff x="602" y="39"/>
          <a:chExt cx="193" cy="62"/>
        </a:xfrm>
      </xdr:grpSpPr>
      <xdr:sp macro="" textlink="">
        <xdr:nvSpPr>
          <xdr:cNvPr id="24626" name="Rectangle 5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7" name="Rectangle 5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8" name="Rectangle 5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29" name="Rectangle 5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257175</xdr:colOff>
      <xdr:row>40</xdr:row>
      <xdr:rowOff>28575</xdr:rowOff>
    </xdr:from>
    <xdr:to>
      <xdr:col>10</xdr:col>
      <xdr:colOff>266700</xdr:colOff>
      <xdr:row>43</xdr:row>
      <xdr:rowOff>133350</xdr:rowOff>
    </xdr:to>
    <xdr:grpSp>
      <xdr:nvGrpSpPr>
        <xdr:cNvPr id="24630" name="Group 54"/>
        <xdr:cNvGrpSpPr>
          <a:grpSpLocks/>
        </xdr:cNvGrpSpPr>
      </xdr:nvGrpSpPr>
      <xdr:grpSpPr bwMode="auto">
        <a:xfrm>
          <a:off x="5801728" y="6465470"/>
          <a:ext cx="1844340" cy="586038"/>
          <a:chOff x="602" y="39"/>
          <a:chExt cx="193" cy="62"/>
        </a:xfrm>
      </xdr:grpSpPr>
      <xdr:sp macro="" textlink="">
        <xdr:nvSpPr>
          <xdr:cNvPr id="24631" name="Rectangle 5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2" name="Rectangle 5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3" name="Rectangle 5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4" name="Rectangle 5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228600</xdr:colOff>
      <xdr:row>43</xdr:row>
      <xdr:rowOff>152400</xdr:rowOff>
    </xdr:from>
    <xdr:to>
      <xdr:col>10</xdr:col>
      <xdr:colOff>238125</xdr:colOff>
      <xdr:row>47</xdr:row>
      <xdr:rowOff>95250</xdr:rowOff>
    </xdr:to>
    <xdr:grpSp>
      <xdr:nvGrpSpPr>
        <xdr:cNvPr id="24635" name="Group 59"/>
        <xdr:cNvGrpSpPr>
          <a:grpSpLocks/>
        </xdr:cNvGrpSpPr>
      </xdr:nvGrpSpPr>
      <xdr:grpSpPr bwMode="auto">
        <a:xfrm>
          <a:off x="5773153" y="7070558"/>
          <a:ext cx="1844340" cy="584534"/>
          <a:chOff x="602" y="39"/>
          <a:chExt cx="193" cy="62"/>
        </a:xfrm>
      </xdr:grpSpPr>
      <xdr:sp macro="" textlink="">
        <xdr:nvSpPr>
          <xdr:cNvPr id="24636" name="Rectangle 6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7" name="Rectangle 6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8" name="Rectangle 6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39" name="Rectangle 6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200025</xdr:colOff>
      <xdr:row>47</xdr:row>
      <xdr:rowOff>114300</xdr:rowOff>
    </xdr:from>
    <xdr:to>
      <xdr:col>10</xdr:col>
      <xdr:colOff>209550</xdr:colOff>
      <xdr:row>51</xdr:row>
      <xdr:rowOff>57150</xdr:rowOff>
    </xdr:to>
    <xdr:grpSp>
      <xdr:nvGrpSpPr>
        <xdr:cNvPr id="24640" name="Group 64"/>
        <xdr:cNvGrpSpPr>
          <a:grpSpLocks/>
        </xdr:cNvGrpSpPr>
      </xdr:nvGrpSpPr>
      <xdr:grpSpPr bwMode="auto">
        <a:xfrm>
          <a:off x="5744578" y="7674142"/>
          <a:ext cx="1844340" cy="584534"/>
          <a:chOff x="602" y="39"/>
          <a:chExt cx="193" cy="62"/>
        </a:xfrm>
      </xdr:grpSpPr>
      <xdr:sp macro="" textlink="">
        <xdr:nvSpPr>
          <xdr:cNvPr id="24641" name="Rectangle 6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2" name="Rectangle 6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3" name="Rectangle 6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4" name="Rectangle 6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190500</xdr:colOff>
      <xdr:row>51</xdr:row>
      <xdr:rowOff>85725</xdr:rowOff>
    </xdr:from>
    <xdr:to>
      <xdr:col>10</xdr:col>
      <xdr:colOff>200025</xdr:colOff>
      <xdr:row>55</xdr:row>
      <xdr:rowOff>28575</xdr:rowOff>
    </xdr:to>
    <xdr:grpSp>
      <xdr:nvGrpSpPr>
        <xdr:cNvPr id="24645" name="Group 69"/>
        <xdr:cNvGrpSpPr>
          <a:grpSpLocks/>
        </xdr:cNvGrpSpPr>
      </xdr:nvGrpSpPr>
      <xdr:grpSpPr bwMode="auto">
        <a:xfrm>
          <a:off x="5735053" y="8287251"/>
          <a:ext cx="1844340" cy="584535"/>
          <a:chOff x="602" y="39"/>
          <a:chExt cx="193" cy="62"/>
        </a:xfrm>
      </xdr:grpSpPr>
      <xdr:sp macro="" textlink="">
        <xdr:nvSpPr>
          <xdr:cNvPr id="24646" name="Rectangle 70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7" name="Rectangle 71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8" name="Rectangle 72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49" name="Rectangle 73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209550</xdr:colOff>
      <xdr:row>55</xdr:row>
      <xdr:rowOff>66675</xdr:rowOff>
    </xdr:from>
    <xdr:to>
      <xdr:col>10</xdr:col>
      <xdr:colOff>219075</xdr:colOff>
      <xdr:row>59</xdr:row>
      <xdr:rowOff>0</xdr:rowOff>
    </xdr:to>
    <xdr:grpSp>
      <xdr:nvGrpSpPr>
        <xdr:cNvPr id="24650" name="Group 74"/>
        <xdr:cNvGrpSpPr>
          <a:grpSpLocks/>
        </xdr:cNvGrpSpPr>
      </xdr:nvGrpSpPr>
      <xdr:grpSpPr bwMode="auto">
        <a:xfrm>
          <a:off x="5754103" y="8909886"/>
          <a:ext cx="1844340" cy="585035"/>
          <a:chOff x="602" y="39"/>
          <a:chExt cx="193" cy="62"/>
        </a:xfrm>
      </xdr:grpSpPr>
      <xdr:sp macro="" textlink="">
        <xdr:nvSpPr>
          <xdr:cNvPr id="24651" name="Rectangle 75" descr="Розовая тисненая бумага"/>
          <xdr:cNvSpPr>
            <a:spLocks noChangeArrowheads="1"/>
          </xdr:cNvSpPr>
        </xdr:nvSpPr>
        <xdr:spPr bwMode="auto">
          <a:xfrm>
            <a:off x="602" y="40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52" name="Rectangle 76" descr="Розовая тисненая бумага"/>
          <xdr:cNvSpPr>
            <a:spLocks noChangeArrowheads="1"/>
          </xdr:cNvSpPr>
        </xdr:nvSpPr>
        <xdr:spPr bwMode="auto">
          <a:xfrm>
            <a:off x="680" y="39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53" name="Rectangle 77" descr="Розовая тисненая бумага"/>
          <xdr:cNvSpPr>
            <a:spLocks noChangeArrowheads="1"/>
          </xdr:cNvSpPr>
        </xdr:nvSpPr>
        <xdr:spPr bwMode="auto">
          <a:xfrm>
            <a:off x="641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4654" name="Rectangle 78" descr="Розовая тисненая бумага"/>
          <xdr:cNvSpPr>
            <a:spLocks noChangeArrowheads="1"/>
          </xdr:cNvSpPr>
        </xdr:nvSpPr>
        <xdr:spPr bwMode="auto">
          <a:xfrm>
            <a:off x="720" y="72"/>
            <a:ext cx="75" cy="29"/>
          </a:xfrm>
          <a:prstGeom prst="rect">
            <a:avLst/>
          </a:prstGeom>
          <a:blipFill dpi="0" rotWithShape="0">
            <a:blip xmlns:r="http://schemas.openxmlformats.org/officeDocument/2006/relationships" r:embed="rId1"/>
            <a:srcRect/>
            <a:tile tx="0" ty="0" sx="100000" sy="100000" flip="none" algn="tl"/>
          </a:blipFill>
          <a:ln w="9525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7</xdr:col>
      <xdr:colOff>200025</xdr:colOff>
      <xdr:row>4</xdr:row>
      <xdr:rowOff>19050</xdr:rowOff>
    </xdr:from>
    <xdr:to>
      <xdr:col>7</xdr:col>
      <xdr:colOff>514350</xdr:colOff>
      <xdr:row>5</xdr:row>
      <xdr:rowOff>133350</xdr:rowOff>
    </xdr:to>
    <xdr:sp macro="" textlink="">
      <xdr:nvSpPr>
        <xdr:cNvPr id="24655" name="Rectangle 79" descr="Розовая тисненая бумага"/>
        <xdr:cNvSpPr>
          <a:spLocks noChangeArrowheads="1"/>
        </xdr:cNvSpPr>
      </xdr:nvSpPr>
      <xdr:spPr bwMode="auto">
        <a:xfrm>
          <a:off x="5753100" y="68580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200025</xdr:colOff>
      <xdr:row>7</xdr:row>
      <xdr:rowOff>142875</xdr:rowOff>
    </xdr:from>
    <xdr:to>
      <xdr:col>7</xdr:col>
      <xdr:colOff>514350</xdr:colOff>
      <xdr:row>9</xdr:row>
      <xdr:rowOff>95250</xdr:rowOff>
    </xdr:to>
    <xdr:sp macro="" textlink="">
      <xdr:nvSpPr>
        <xdr:cNvPr id="24656" name="Rectangle 80" descr="Розовая тисненая бумага"/>
        <xdr:cNvSpPr>
          <a:spLocks noChangeArrowheads="1"/>
        </xdr:cNvSpPr>
      </xdr:nvSpPr>
      <xdr:spPr bwMode="auto">
        <a:xfrm>
          <a:off x="5753100" y="129540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200025</xdr:colOff>
      <xdr:row>11</xdr:row>
      <xdr:rowOff>114300</xdr:rowOff>
    </xdr:from>
    <xdr:to>
      <xdr:col>7</xdr:col>
      <xdr:colOff>514350</xdr:colOff>
      <xdr:row>13</xdr:row>
      <xdr:rowOff>66675</xdr:rowOff>
    </xdr:to>
    <xdr:sp macro="" textlink="">
      <xdr:nvSpPr>
        <xdr:cNvPr id="24657" name="Rectangle 81" descr="Розовая тисненая бумага"/>
        <xdr:cNvSpPr>
          <a:spLocks noChangeArrowheads="1"/>
        </xdr:cNvSpPr>
      </xdr:nvSpPr>
      <xdr:spPr bwMode="auto">
        <a:xfrm>
          <a:off x="5753100" y="191452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200025</xdr:colOff>
      <xdr:row>15</xdr:row>
      <xdr:rowOff>85725</xdr:rowOff>
    </xdr:from>
    <xdr:to>
      <xdr:col>7</xdr:col>
      <xdr:colOff>514350</xdr:colOff>
      <xdr:row>17</xdr:row>
      <xdr:rowOff>38100</xdr:rowOff>
    </xdr:to>
    <xdr:sp macro="" textlink="">
      <xdr:nvSpPr>
        <xdr:cNvPr id="24658" name="Rectangle 82" descr="Розовая тисненая бумага"/>
        <xdr:cNvSpPr>
          <a:spLocks noChangeArrowheads="1"/>
        </xdr:cNvSpPr>
      </xdr:nvSpPr>
      <xdr:spPr bwMode="auto">
        <a:xfrm>
          <a:off x="5753100" y="253365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209550</xdr:colOff>
      <xdr:row>19</xdr:row>
      <xdr:rowOff>47625</xdr:rowOff>
    </xdr:from>
    <xdr:to>
      <xdr:col>7</xdr:col>
      <xdr:colOff>523875</xdr:colOff>
      <xdr:row>21</xdr:row>
      <xdr:rowOff>0</xdr:rowOff>
    </xdr:to>
    <xdr:sp macro="" textlink="">
      <xdr:nvSpPr>
        <xdr:cNvPr id="24659" name="Rectangle 83" descr="Розовая тисненая бумага"/>
        <xdr:cNvSpPr>
          <a:spLocks noChangeArrowheads="1"/>
        </xdr:cNvSpPr>
      </xdr:nvSpPr>
      <xdr:spPr bwMode="auto">
        <a:xfrm>
          <a:off x="5762625" y="314325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209550</xdr:colOff>
      <xdr:row>23</xdr:row>
      <xdr:rowOff>19050</xdr:rowOff>
    </xdr:from>
    <xdr:to>
      <xdr:col>7</xdr:col>
      <xdr:colOff>523875</xdr:colOff>
      <xdr:row>24</xdr:row>
      <xdr:rowOff>133350</xdr:rowOff>
    </xdr:to>
    <xdr:sp macro="" textlink="">
      <xdr:nvSpPr>
        <xdr:cNvPr id="24660" name="Rectangle 84" descr="Розовая тисненая бумага"/>
        <xdr:cNvSpPr>
          <a:spLocks noChangeArrowheads="1"/>
        </xdr:cNvSpPr>
      </xdr:nvSpPr>
      <xdr:spPr bwMode="auto">
        <a:xfrm>
          <a:off x="5762625" y="376237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219075</xdr:colOff>
      <xdr:row>26</xdr:row>
      <xdr:rowOff>152400</xdr:rowOff>
    </xdr:from>
    <xdr:to>
      <xdr:col>7</xdr:col>
      <xdr:colOff>533400</xdr:colOff>
      <xdr:row>28</xdr:row>
      <xdr:rowOff>104775</xdr:rowOff>
    </xdr:to>
    <xdr:sp macro="" textlink="">
      <xdr:nvSpPr>
        <xdr:cNvPr id="24661" name="Rectangle 85" descr="Розовая тисненая бумага"/>
        <xdr:cNvSpPr>
          <a:spLocks noChangeArrowheads="1"/>
        </xdr:cNvSpPr>
      </xdr:nvSpPr>
      <xdr:spPr bwMode="auto">
        <a:xfrm>
          <a:off x="5772150" y="438150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266700</xdr:colOff>
      <xdr:row>30</xdr:row>
      <xdr:rowOff>123825</xdr:rowOff>
    </xdr:from>
    <xdr:to>
      <xdr:col>7</xdr:col>
      <xdr:colOff>581025</xdr:colOff>
      <xdr:row>32</xdr:row>
      <xdr:rowOff>76200</xdr:rowOff>
    </xdr:to>
    <xdr:sp macro="" textlink="">
      <xdr:nvSpPr>
        <xdr:cNvPr id="24662" name="Rectangle 86" descr="Розовая тисненая бумага"/>
        <xdr:cNvSpPr>
          <a:spLocks noChangeArrowheads="1"/>
        </xdr:cNvSpPr>
      </xdr:nvSpPr>
      <xdr:spPr bwMode="auto">
        <a:xfrm>
          <a:off x="5819775" y="500062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266700</xdr:colOff>
      <xdr:row>34</xdr:row>
      <xdr:rowOff>76200</xdr:rowOff>
    </xdr:from>
    <xdr:to>
      <xdr:col>7</xdr:col>
      <xdr:colOff>581025</xdr:colOff>
      <xdr:row>36</xdr:row>
      <xdr:rowOff>28575</xdr:rowOff>
    </xdr:to>
    <xdr:sp macro="" textlink="">
      <xdr:nvSpPr>
        <xdr:cNvPr id="24663" name="Rectangle 87" descr="Розовая тисненая бумага"/>
        <xdr:cNvSpPr>
          <a:spLocks noChangeArrowheads="1"/>
        </xdr:cNvSpPr>
      </xdr:nvSpPr>
      <xdr:spPr bwMode="auto">
        <a:xfrm>
          <a:off x="5819775" y="560070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276225</xdr:colOff>
      <xdr:row>38</xdr:row>
      <xdr:rowOff>47625</xdr:rowOff>
    </xdr:from>
    <xdr:to>
      <xdr:col>7</xdr:col>
      <xdr:colOff>590550</xdr:colOff>
      <xdr:row>40</xdr:row>
      <xdr:rowOff>0</xdr:rowOff>
    </xdr:to>
    <xdr:sp macro="" textlink="">
      <xdr:nvSpPr>
        <xdr:cNvPr id="24664" name="Rectangle 88" descr="Розовая тисненая бумага"/>
        <xdr:cNvSpPr>
          <a:spLocks noChangeArrowheads="1"/>
        </xdr:cNvSpPr>
      </xdr:nvSpPr>
      <xdr:spPr bwMode="auto">
        <a:xfrm>
          <a:off x="5829300" y="621982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266700</xdr:colOff>
      <xdr:row>42</xdr:row>
      <xdr:rowOff>19050</xdr:rowOff>
    </xdr:from>
    <xdr:to>
      <xdr:col>7</xdr:col>
      <xdr:colOff>581025</xdr:colOff>
      <xdr:row>43</xdr:row>
      <xdr:rowOff>133350</xdr:rowOff>
    </xdr:to>
    <xdr:sp macro="" textlink="">
      <xdr:nvSpPr>
        <xdr:cNvPr id="24665" name="Rectangle 89" descr="Розовая тисненая бумага"/>
        <xdr:cNvSpPr>
          <a:spLocks noChangeArrowheads="1"/>
        </xdr:cNvSpPr>
      </xdr:nvSpPr>
      <xdr:spPr bwMode="auto">
        <a:xfrm>
          <a:off x="5819775" y="683895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238125</xdr:colOff>
      <xdr:row>45</xdr:row>
      <xdr:rowOff>142875</xdr:rowOff>
    </xdr:from>
    <xdr:to>
      <xdr:col>7</xdr:col>
      <xdr:colOff>552450</xdr:colOff>
      <xdr:row>47</xdr:row>
      <xdr:rowOff>95250</xdr:rowOff>
    </xdr:to>
    <xdr:sp macro="" textlink="">
      <xdr:nvSpPr>
        <xdr:cNvPr id="24666" name="Rectangle 90" descr="Розовая тисненая бумага"/>
        <xdr:cNvSpPr>
          <a:spLocks noChangeArrowheads="1"/>
        </xdr:cNvSpPr>
      </xdr:nvSpPr>
      <xdr:spPr bwMode="auto">
        <a:xfrm>
          <a:off x="5791200" y="744855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209550</xdr:colOff>
      <xdr:row>49</xdr:row>
      <xdr:rowOff>114300</xdr:rowOff>
    </xdr:from>
    <xdr:to>
      <xdr:col>7</xdr:col>
      <xdr:colOff>523875</xdr:colOff>
      <xdr:row>51</xdr:row>
      <xdr:rowOff>66675</xdr:rowOff>
    </xdr:to>
    <xdr:sp macro="" textlink="">
      <xdr:nvSpPr>
        <xdr:cNvPr id="24667" name="Rectangle 91" descr="Розовая тисненая бумага"/>
        <xdr:cNvSpPr>
          <a:spLocks noChangeArrowheads="1"/>
        </xdr:cNvSpPr>
      </xdr:nvSpPr>
      <xdr:spPr bwMode="auto">
        <a:xfrm>
          <a:off x="5762625" y="806767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209550</xdr:colOff>
      <xdr:row>53</xdr:row>
      <xdr:rowOff>85725</xdr:rowOff>
    </xdr:from>
    <xdr:to>
      <xdr:col>7</xdr:col>
      <xdr:colOff>523875</xdr:colOff>
      <xdr:row>55</xdr:row>
      <xdr:rowOff>38100</xdr:rowOff>
    </xdr:to>
    <xdr:sp macro="" textlink="">
      <xdr:nvSpPr>
        <xdr:cNvPr id="24668" name="Rectangle 92" descr="Розовая тисненая бумага"/>
        <xdr:cNvSpPr>
          <a:spLocks noChangeArrowheads="1"/>
        </xdr:cNvSpPr>
      </xdr:nvSpPr>
      <xdr:spPr bwMode="auto">
        <a:xfrm>
          <a:off x="5762625" y="8686800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219075</xdr:colOff>
      <xdr:row>57</xdr:row>
      <xdr:rowOff>57150</xdr:rowOff>
    </xdr:from>
    <xdr:to>
      <xdr:col>7</xdr:col>
      <xdr:colOff>533400</xdr:colOff>
      <xdr:row>59</xdr:row>
      <xdr:rowOff>0</xdr:rowOff>
    </xdr:to>
    <xdr:sp macro="" textlink="">
      <xdr:nvSpPr>
        <xdr:cNvPr id="24669" name="Rectangle 93" descr="Розовая тисненая бумага"/>
        <xdr:cNvSpPr>
          <a:spLocks noChangeArrowheads="1"/>
        </xdr:cNvSpPr>
      </xdr:nvSpPr>
      <xdr:spPr bwMode="auto">
        <a:xfrm>
          <a:off x="5772150" y="9305925"/>
          <a:ext cx="314325" cy="276225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295275</xdr:colOff>
      <xdr:row>13</xdr:row>
      <xdr:rowOff>76200</xdr:rowOff>
    </xdr:from>
    <xdr:to>
      <xdr:col>8</xdr:col>
      <xdr:colOff>85725</xdr:colOff>
      <xdr:row>17</xdr:row>
      <xdr:rowOff>66675</xdr:rowOff>
    </xdr:to>
    <xdr:sp macro="" textlink="">
      <xdr:nvSpPr>
        <xdr:cNvPr id="24670" name="Line 94"/>
        <xdr:cNvSpPr>
          <a:spLocks noChangeShapeType="1"/>
        </xdr:cNvSpPr>
      </xdr:nvSpPr>
      <xdr:spPr bwMode="auto">
        <a:xfrm flipH="1" flipV="1">
          <a:off x="5848350" y="220027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295275</xdr:colOff>
      <xdr:row>13</xdr:row>
      <xdr:rowOff>76200</xdr:rowOff>
    </xdr:from>
    <xdr:to>
      <xdr:col>8</xdr:col>
      <xdr:colOff>95250</xdr:colOff>
      <xdr:row>14</xdr:row>
      <xdr:rowOff>95250</xdr:rowOff>
    </xdr:to>
    <xdr:sp macro="" textlink="">
      <xdr:nvSpPr>
        <xdr:cNvPr id="24671" name="Line 95"/>
        <xdr:cNvSpPr>
          <a:spLocks noChangeShapeType="1"/>
        </xdr:cNvSpPr>
      </xdr:nvSpPr>
      <xdr:spPr bwMode="auto">
        <a:xfrm flipH="1" flipV="1">
          <a:off x="5848350" y="2200275"/>
          <a:ext cx="409575" cy="1809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457200</xdr:colOff>
      <xdr:row>11</xdr:row>
      <xdr:rowOff>133350</xdr:rowOff>
    </xdr:from>
    <xdr:to>
      <xdr:col>8</xdr:col>
      <xdr:colOff>257175</xdr:colOff>
      <xdr:row>12</xdr:row>
      <xdr:rowOff>152400</xdr:rowOff>
    </xdr:to>
    <xdr:sp macro="" textlink="">
      <xdr:nvSpPr>
        <xdr:cNvPr id="24672" name="Line 96"/>
        <xdr:cNvSpPr>
          <a:spLocks noChangeShapeType="1"/>
        </xdr:cNvSpPr>
      </xdr:nvSpPr>
      <xdr:spPr bwMode="auto">
        <a:xfrm flipH="1" flipV="1">
          <a:off x="6010275" y="1933575"/>
          <a:ext cx="409575" cy="1809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238125</xdr:colOff>
      <xdr:row>18</xdr:row>
      <xdr:rowOff>85725</xdr:rowOff>
    </xdr:from>
    <xdr:to>
      <xdr:col>9</xdr:col>
      <xdr:colOff>28575</xdr:colOff>
      <xdr:row>22</xdr:row>
      <xdr:rowOff>76200</xdr:rowOff>
    </xdr:to>
    <xdr:sp macro="" textlink="">
      <xdr:nvSpPr>
        <xdr:cNvPr id="24673" name="Line 97"/>
        <xdr:cNvSpPr>
          <a:spLocks noChangeShapeType="1"/>
        </xdr:cNvSpPr>
      </xdr:nvSpPr>
      <xdr:spPr bwMode="auto">
        <a:xfrm flipH="1" flipV="1">
          <a:off x="6400800" y="301942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390525</xdr:colOff>
      <xdr:row>7</xdr:row>
      <xdr:rowOff>142875</xdr:rowOff>
    </xdr:from>
    <xdr:to>
      <xdr:col>8</xdr:col>
      <xdr:colOff>180975</xdr:colOff>
      <xdr:row>11</xdr:row>
      <xdr:rowOff>133350</xdr:rowOff>
    </xdr:to>
    <xdr:sp macro="" textlink="">
      <xdr:nvSpPr>
        <xdr:cNvPr id="24674" name="Line 98"/>
        <xdr:cNvSpPr>
          <a:spLocks noChangeShapeType="1"/>
        </xdr:cNvSpPr>
      </xdr:nvSpPr>
      <xdr:spPr bwMode="auto">
        <a:xfrm flipH="1" flipV="1">
          <a:off x="5943600" y="1295400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514350</xdr:colOff>
      <xdr:row>6</xdr:row>
      <xdr:rowOff>85725</xdr:rowOff>
    </xdr:from>
    <xdr:to>
      <xdr:col>8</xdr:col>
      <xdr:colOff>304800</xdr:colOff>
      <xdr:row>10</xdr:row>
      <xdr:rowOff>76200</xdr:rowOff>
    </xdr:to>
    <xdr:sp macro="" textlink="">
      <xdr:nvSpPr>
        <xdr:cNvPr id="24675" name="Line 99"/>
        <xdr:cNvSpPr>
          <a:spLocks noChangeShapeType="1"/>
        </xdr:cNvSpPr>
      </xdr:nvSpPr>
      <xdr:spPr bwMode="auto">
        <a:xfrm flipH="1" flipV="1">
          <a:off x="6067425" y="107632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533400</xdr:colOff>
      <xdr:row>6</xdr:row>
      <xdr:rowOff>66675</xdr:rowOff>
    </xdr:from>
    <xdr:to>
      <xdr:col>8</xdr:col>
      <xdr:colOff>57150</xdr:colOff>
      <xdr:row>11</xdr:row>
      <xdr:rowOff>123825</xdr:rowOff>
    </xdr:to>
    <xdr:sp macro="" textlink="">
      <xdr:nvSpPr>
        <xdr:cNvPr id="24676" name="Line 100"/>
        <xdr:cNvSpPr>
          <a:spLocks noChangeShapeType="1"/>
        </xdr:cNvSpPr>
      </xdr:nvSpPr>
      <xdr:spPr bwMode="auto">
        <a:xfrm flipH="1" flipV="1">
          <a:off x="6086475" y="1057275"/>
          <a:ext cx="133350" cy="8667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495300</xdr:colOff>
      <xdr:row>4</xdr:row>
      <xdr:rowOff>114300</xdr:rowOff>
    </xdr:from>
    <xdr:to>
      <xdr:col>8</xdr:col>
      <xdr:colOff>285750</xdr:colOff>
      <xdr:row>8</xdr:row>
      <xdr:rowOff>104775</xdr:rowOff>
    </xdr:to>
    <xdr:sp macro="" textlink="">
      <xdr:nvSpPr>
        <xdr:cNvPr id="24677" name="Line 101"/>
        <xdr:cNvSpPr>
          <a:spLocks noChangeShapeType="1"/>
        </xdr:cNvSpPr>
      </xdr:nvSpPr>
      <xdr:spPr bwMode="auto">
        <a:xfrm flipH="1" flipV="1">
          <a:off x="6048375" y="781050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476250</xdr:colOff>
      <xdr:row>4</xdr:row>
      <xdr:rowOff>66675</xdr:rowOff>
    </xdr:from>
    <xdr:to>
      <xdr:col>8</xdr:col>
      <xdr:colOff>152400</xdr:colOff>
      <xdr:row>6</xdr:row>
      <xdr:rowOff>133350</xdr:rowOff>
    </xdr:to>
    <xdr:sp macro="" textlink="">
      <xdr:nvSpPr>
        <xdr:cNvPr id="24678" name="Arc 102"/>
        <xdr:cNvSpPr>
          <a:spLocks/>
        </xdr:cNvSpPr>
      </xdr:nvSpPr>
      <xdr:spPr bwMode="auto">
        <a:xfrm>
          <a:off x="6029325" y="733425"/>
          <a:ext cx="285750" cy="390525"/>
        </a:xfrm>
        <a:custGeom>
          <a:avLst/>
          <a:gdLst>
            <a:gd name="G0" fmla="+- 8429 0 0"/>
            <a:gd name="G1" fmla="+- 21600 0 0"/>
            <a:gd name="G2" fmla="+- 21600 0 0"/>
            <a:gd name="T0" fmla="*/ 0 w 30029"/>
            <a:gd name="T1" fmla="*/ 1712 h 33395"/>
            <a:gd name="T2" fmla="*/ 26524 w 30029"/>
            <a:gd name="T3" fmla="*/ 33395 h 33395"/>
            <a:gd name="T4" fmla="*/ 8429 w 30029"/>
            <a:gd name="T5" fmla="*/ 21600 h 333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30029" h="33395" fill="none" extrusionOk="0">
              <a:moveTo>
                <a:pt x="0" y="1712"/>
              </a:moveTo>
              <a:cubicBezTo>
                <a:pt x="2666" y="582"/>
                <a:pt x="5533" y="-1"/>
                <a:pt x="8429" y="0"/>
              </a:cubicBezTo>
              <a:cubicBezTo>
                <a:pt x="20358" y="0"/>
                <a:pt x="30029" y="9670"/>
                <a:pt x="30029" y="21600"/>
              </a:cubicBezTo>
              <a:cubicBezTo>
                <a:pt x="30029" y="25788"/>
                <a:pt x="28811" y="29886"/>
                <a:pt x="26524" y="33395"/>
              </a:cubicBezTo>
            </a:path>
            <a:path w="30029" h="33395" stroke="0" extrusionOk="0">
              <a:moveTo>
                <a:pt x="0" y="1712"/>
              </a:moveTo>
              <a:cubicBezTo>
                <a:pt x="2666" y="582"/>
                <a:pt x="5533" y="-1"/>
                <a:pt x="8429" y="0"/>
              </a:cubicBezTo>
              <a:cubicBezTo>
                <a:pt x="20358" y="0"/>
                <a:pt x="30029" y="9670"/>
                <a:pt x="30029" y="21600"/>
              </a:cubicBezTo>
              <a:cubicBezTo>
                <a:pt x="30029" y="25788"/>
                <a:pt x="28811" y="29886"/>
                <a:pt x="26524" y="33395"/>
              </a:cubicBezTo>
              <a:lnTo>
                <a:pt x="8429" y="21600"/>
              </a:lnTo>
              <a:close/>
            </a:path>
          </a:pathLst>
        </a:cu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66675</xdr:colOff>
      <xdr:row>2</xdr:row>
      <xdr:rowOff>142875</xdr:rowOff>
    </xdr:from>
    <xdr:to>
      <xdr:col>8</xdr:col>
      <xdr:colOff>466725</xdr:colOff>
      <xdr:row>6</xdr:row>
      <xdr:rowOff>133350</xdr:rowOff>
    </xdr:to>
    <xdr:sp macro="" textlink="">
      <xdr:nvSpPr>
        <xdr:cNvPr id="24679" name="Line 103"/>
        <xdr:cNvSpPr>
          <a:spLocks noChangeShapeType="1"/>
        </xdr:cNvSpPr>
      </xdr:nvSpPr>
      <xdr:spPr bwMode="auto">
        <a:xfrm flipH="1" flipV="1">
          <a:off x="6229350" y="48577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485775</xdr:colOff>
      <xdr:row>3</xdr:row>
      <xdr:rowOff>114300</xdr:rowOff>
    </xdr:from>
    <xdr:to>
      <xdr:col>8</xdr:col>
      <xdr:colOff>285750</xdr:colOff>
      <xdr:row>4</xdr:row>
      <xdr:rowOff>133350</xdr:rowOff>
    </xdr:to>
    <xdr:sp macro="" textlink="">
      <xdr:nvSpPr>
        <xdr:cNvPr id="24680" name="Line 104"/>
        <xdr:cNvSpPr>
          <a:spLocks noChangeShapeType="1"/>
        </xdr:cNvSpPr>
      </xdr:nvSpPr>
      <xdr:spPr bwMode="auto">
        <a:xfrm flipH="1" flipV="1">
          <a:off x="6038850" y="619125"/>
          <a:ext cx="409575" cy="1809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352425</xdr:colOff>
      <xdr:row>16</xdr:row>
      <xdr:rowOff>133350</xdr:rowOff>
    </xdr:from>
    <xdr:to>
      <xdr:col>9</xdr:col>
      <xdr:colOff>133350</xdr:colOff>
      <xdr:row>18</xdr:row>
      <xdr:rowOff>142875</xdr:rowOff>
    </xdr:to>
    <xdr:sp macro="" textlink="">
      <xdr:nvSpPr>
        <xdr:cNvPr id="24681" name="Line 105"/>
        <xdr:cNvSpPr>
          <a:spLocks noChangeShapeType="1"/>
        </xdr:cNvSpPr>
      </xdr:nvSpPr>
      <xdr:spPr bwMode="auto">
        <a:xfrm flipH="1" flipV="1">
          <a:off x="6515100" y="2743200"/>
          <a:ext cx="390525" cy="3333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333375</xdr:colOff>
      <xdr:row>16</xdr:row>
      <xdr:rowOff>104775</xdr:rowOff>
    </xdr:from>
    <xdr:to>
      <xdr:col>9</xdr:col>
      <xdr:colOff>123825</xdr:colOff>
      <xdr:row>20</xdr:row>
      <xdr:rowOff>95250</xdr:rowOff>
    </xdr:to>
    <xdr:sp macro="" textlink="">
      <xdr:nvSpPr>
        <xdr:cNvPr id="24682" name="Line 106"/>
        <xdr:cNvSpPr>
          <a:spLocks noChangeShapeType="1"/>
        </xdr:cNvSpPr>
      </xdr:nvSpPr>
      <xdr:spPr bwMode="auto">
        <a:xfrm flipH="1" flipV="1">
          <a:off x="6496050" y="271462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371475</xdr:colOff>
      <xdr:row>13</xdr:row>
      <xdr:rowOff>104775</xdr:rowOff>
    </xdr:from>
    <xdr:to>
      <xdr:col>9</xdr:col>
      <xdr:colOff>161925</xdr:colOff>
      <xdr:row>17</xdr:row>
      <xdr:rowOff>95250</xdr:rowOff>
    </xdr:to>
    <xdr:sp macro="" textlink="">
      <xdr:nvSpPr>
        <xdr:cNvPr id="24683" name="Line 107"/>
        <xdr:cNvSpPr>
          <a:spLocks noChangeShapeType="1"/>
        </xdr:cNvSpPr>
      </xdr:nvSpPr>
      <xdr:spPr bwMode="auto">
        <a:xfrm flipH="1" flipV="1">
          <a:off x="6534150" y="2228850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495300</xdr:colOff>
      <xdr:row>12</xdr:row>
      <xdr:rowOff>47625</xdr:rowOff>
    </xdr:from>
    <xdr:to>
      <xdr:col>9</xdr:col>
      <xdr:colOff>285750</xdr:colOff>
      <xdr:row>16</xdr:row>
      <xdr:rowOff>38100</xdr:rowOff>
    </xdr:to>
    <xdr:sp macro="" textlink="">
      <xdr:nvSpPr>
        <xdr:cNvPr id="24684" name="Line 108"/>
        <xdr:cNvSpPr>
          <a:spLocks noChangeShapeType="1"/>
        </xdr:cNvSpPr>
      </xdr:nvSpPr>
      <xdr:spPr bwMode="auto">
        <a:xfrm flipH="1" flipV="1">
          <a:off x="6657975" y="2009775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514350</xdr:colOff>
      <xdr:row>12</xdr:row>
      <xdr:rowOff>28575</xdr:rowOff>
    </xdr:from>
    <xdr:to>
      <xdr:col>9</xdr:col>
      <xdr:colOff>28575</xdr:colOff>
      <xdr:row>16</xdr:row>
      <xdr:rowOff>57150</xdr:rowOff>
    </xdr:to>
    <xdr:sp macro="" textlink="">
      <xdr:nvSpPr>
        <xdr:cNvPr id="24685" name="Line 109"/>
        <xdr:cNvSpPr>
          <a:spLocks noChangeShapeType="1"/>
        </xdr:cNvSpPr>
      </xdr:nvSpPr>
      <xdr:spPr bwMode="auto">
        <a:xfrm flipH="1" flipV="1">
          <a:off x="6677025" y="1990725"/>
          <a:ext cx="123825" cy="6762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476250</xdr:colOff>
      <xdr:row>10</xdr:row>
      <xdr:rowOff>76200</xdr:rowOff>
    </xdr:from>
    <xdr:to>
      <xdr:col>9</xdr:col>
      <xdr:colOff>266700</xdr:colOff>
      <xdr:row>14</xdr:row>
      <xdr:rowOff>66675</xdr:rowOff>
    </xdr:to>
    <xdr:sp macro="" textlink="">
      <xdr:nvSpPr>
        <xdr:cNvPr id="24686" name="Line 110"/>
        <xdr:cNvSpPr>
          <a:spLocks noChangeShapeType="1"/>
        </xdr:cNvSpPr>
      </xdr:nvSpPr>
      <xdr:spPr bwMode="auto">
        <a:xfrm flipH="1" flipV="1">
          <a:off x="6638925" y="1714500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457200</xdr:colOff>
      <xdr:row>10</xdr:row>
      <xdr:rowOff>28575</xdr:rowOff>
    </xdr:from>
    <xdr:to>
      <xdr:col>9</xdr:col>
      <xdr:colOff>133350</xdr:colOff>
      <xdr:row>12</xdr:row>
      <xdr:rowOff>95250</xdr:rowOff>
    </xdr:to>
    <xdr:sp macro="" textlink="">
      <xdr:nvSpPr>
        <xdr:cNvPr id="24687" name="Arc 111"/>
        <xdr:cNvSpPr>
          <a:spLocks/>
        </xdr:cNvSpPr>
      </xdr:nvSpPr>
      <xdr:spPr bwMode="auto">
        <a:xfrm>
          <a:off x="6619875" y="1666875"/>
          <a:ext cx="285750" cy="390525"/>
        </a:xfrm>
        <a:custGeom>
          <a:avLst/>
          <a:gdLst>
            <a:gd name="G0" fmla="+- 8429 0 0"/>
            <a:gd name="G1" fmla="+- 21600 0 0"/>
            <a:gd name="G2" fmla="+- 21600 0 0"/>
            <a:gd name="T0" fmla="*/ 0 w 30029"/>
            <a:gd name="T1" fmla="*/ 1712 h 33395"/>
            <a:gd name="T2" fmla="*/ 26524 w 30029"/>
            <a:gd name="T3" fmla="*/ 33395 h 33395"/>
            <a:gd name="T4" fmla="*/ 8429 w 30029"/>
            <a:gd name="T5" fmla="*/ 21600 h 333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30029" h="33395" fill="none" extrusionOk="0">
              <a:moveTo>
                <a:pt x="0" y="1712"/>
              </a:moveTo>
              <a:cubicBezTo>
                <a:pt x="2666" y="582"/>
                <a:pt x="5533" y="-1"/>
                <a:pt x="8429" y="0"/>
              </a:cubicBezTo>
              <a:cubicBezTo>
                <a:pt x="20358" y="0"/>
                <a:pt x="30029" y="9670"/>
                <a:pt x="30029" y="21600"/>
              </a:cubicBezTo>
              <a:cubicBezTo>
                <a:pt x="30029" y="25788"/>
                <a:pt x="28811" y="29886"/>
                <a:pt x="26524" y="33395"/>
              </a:cubicBezTo>
            </a:path>
            <a:path w="30029" h="33395" stroke="0" extrusionOk="0">
              <a:moveTo>
                <a:pt x="0" y="1712"/>
              </a:moveTo>
              <a:cubicBezTo>
                <a:pt x="2666" y="582"/>
                <a:pt x="5533" y="-1"/>
                <a:pt x="8429" y="0"/>
              </a:cubicBezTo>
              <a:cubicBezTo>
                <a:pt x="20358" y="0"/>
                <a:pt x="30029" y="9670"/>
                <a:pt x="30029" y="21600"/>
              </a:cubicBezTo>
              <a:cubicBezTo>
                <a:pt x="30029" y="25788"/>
                <a:pt x="28811" y="29886"/>
                <a:pt x="26524" y="33395"/>
              </a:cubicBezTo>
              <a:lnTo>
                <a:pt x="8429" y="21600"/>
              </a:lnTo>
              <a:close/>
            </a:path>
          </a:pathLst>
        </a:cu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209550</xdr:colOff>
      <xdr:row>18</xdr:row>
      <xdr:rowOff>85725</xdr:rowOff>
    </xdr:from>
    <xdr:to>
      <xdr:col>9</xdr:col>
      <xdr:colOff>9525</xdr:colOff>
      <xdr:row>19</xdr:row>
      <xdr:rowOff>104775</xdr:rowOff>
    </xdr:to>
    <xdr:sp macro="" textlink="">
      <xdr:nvSpPr>
        <xdr:cNvPr id="24688" name="Line 112"/>
        <xdr:cNvSpPr>
          <a:spLocks noChangeShapeType="1"/>
        </xdr:cNvSpPr>
      </xdr:nvSpPr>
      <xdr:spPr bwMode="auto">
        <a:xfrm flipH="1" flipV="1">
          <a:off x="6372225" y="3019425"/>
          <a:ext cx="409575" cy="1809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390525</xdr:colOff>
      <xdr:row>11</xdr:row>
      <xdr:rowOff>9525</xdr:rowOff>
    </xdr:from>
    <xdr:to>
      <xdr:col>8</xdr:col>
      <xdr:colOff>180975</xdr:colOff>
      <xdr:row>15</xdr:row>
      <xdr:rowOff>0</xdr:rowOff>
    </xdr:to>
    <xdr:sp macro="" textlink="">
      <xdr:nvSpPr>
        <xdr:cNvPr id="24689" name="Line 113"/>
        <xdr:cNvSpPr>
          <a:spLocks noChangeShapeType="1"/>
        </xdr:cNvSpPr>
      </xdr:nvSpPr>
      <xdr:spPr bwMode="auto">
        <a:xfrm flipH="1" flipV="1">
          <a:off x="5943600" y="1809750"/>
          <a:ext cx="400050" cy="6381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542925</xdr:colOff>
      <xdr:row>1</xdr:row>
      <xdr:rowOff>66675</xdr:rowOff>
    </xdr:from>
    <xdr:to>
      <xdr:col>9</xdr:col>
      <xdr:colOff>247650</xdr:colOff>
      <xdr:row>3</xdr:row>
      <xdr:rowOff>0</xdr:rowOff>
    </xdr:to>
    <xdr:sp macro="" textlink="">
      <xdr:nvSpPr>
        <xdr:cNvPr id="24690" name="AutoShape 114"/>
        <xdr:cNvSpPr>
          <a:spLocks noChangeArrowheads="1"/>
        </xdr:cNvSpPr>
      </xdr:nvSpPr>
      <xdr:spPr bwMode="auto">
        <a:xfrm>
          <a:off x="6705600" y="238125"/>
          <a:ext cx="314325" cy="26670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12</xdr:row>
      <xdr:rowOff>161925</xdr:rowOff>
    </xdr:from>
    <xdr:to>
      <xdr:col>3</xdr:col>
      <xdr:colOff>28575</xdr:colOff>
      <xdr:row>13</xdr:row>
      <xdr:rowOff>142875</xdr:rowOff>
    </xdr:to>
    <xdr:sp macro="" textlink="">
      <xdr:nvSpPr>
        <xdr:cNvPr id="9229" name="Oval 13"/>
        <xdr:cNvSpPr>
          <a:spLocks noChangeArrowheads="1"/>
        </xdr:cNvSpPr>
      </xdr:nvSpPr>
      <xdr:spPr bwMode="auto">
        <a:xfrm>
          <a:off x="2124075" y="2705100"/>
          <a:ext cx="76200" cy="1524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38100</xdr:colOff>
      <xdr:row>14</xdr:row>
      <xdr:rowOff>76200</xdr:rowOff>
    </xdr:from>
    <xdr:to>
      <xdr:col>8</xdr:col>
      <xdr:colOff>600075</xdr:colOff>
      <xdr:row>17</xdr:row>
      <xdr:rowOff>0</xdr:rowOff>
    </xdr:to>
    <xdr:grpSp>
      <xdr:nvGrpSpPr>
        <xdr:cNvPr id="9224" name="Group 8"/>
        <xdr:cNvGrpSpPr>
          <a:grpSpLocks/>
        </xdr:cNvGrpSpPr>
      </xdr:nvGrpSpPr>
      <xdr:grpSpPr bwMode="auto">
        <a:xfrm>
          <a:off x="2210991" y="2945606"/>
          <a:ext cx="3705225" cy="406003"/>
          <a:chOff x="11" y="289"/>
          <a:chExt cx="390" cy="43"/>
        </a:xfrm>
      </xdr:grpSpPr>
      <xdr:sp macro="" textlink="">
        <xdr:nvSpPr>
          <xdr:cNvPr id="9221" name="AutoShape 5"/>
          <xdr:cNvSpPr>
            <a:spLocks noChangeArrowheads="1"/>
          </xdr:cNvSpPr>
        </xdr:nvSpPr>
        <xdr:spPr bwMode="auto">
          <a:xfrm>
            <a:off x="278" y="289"/>
            <a:ext cx="26" cy="25"/>
          </a:xfrm>
          <a:prstGeom prst="sun">
            <a:avLst>
              <a:gd name="adj" fmla="val 19231"/>
            </a:avLst>
          </a:prstGeom>
          <a:solidFill>
            <a:srgbClr val="80808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218" name="Line 2"/>
          <xdr:cNvSpPr>
            <a:spLocks noChangeShapeType="1"/>
          </xdr:cNvSpPr>
        </xdr:nvSpPr>
        <xdr:spPr bwMode="auto">
          <a:xfrm>
            <a:off x="273" y="302"/>
            <a:ext cx="120" cy="0"/>
          </a:xfrm>
          <a:prstGeom prst="line">
            <a:avLst/>
          </a:prstGeom>
          <a:noFill/>
          <a:ln w="38100" cmpd="dbl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19" name="Rectangle 3"/>
          <xdr:cNvSpPr>
            <a:spLocks noChangeArrowheads="1"/>
          </xdr:cNvSpPr>
        </xdr:nvSpPr>
        <xdr:spPr bwMode="auto">
          <a:xfrm>
            <a:off x="271" y="307"/>
            <a:ext cx="126" cy="8"/>
          </a:xfrm>
          <a:prstGeom prst="rect">
            <a:avLst/>
          </a:prstGeom>
          <a:gradFill rotWithShape="0">
            <a:gsLst>
              <a:gs pos="0">
                <a:srgbClr val="FFFFFF">
                  <a:gamma/>
                  <a:shade val="18039"/>
                  <a:invGamma/>
                </a:srgbClr>
              </a:gs>
              <a:gs pos="50000">
                <a:srgbClr val="FFFFFF"/>
              </a:gs>
              <a:gs pos="100000">
                <a:srgbClr val="FFFFFF">
                  <a:gamma/>
                  <a:shade val="18039"/>
                  <a:invGamma/>
                </a:srgbClr>
              </a:gs>
            </a:gsLst>
            <a:lin ang="540000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220" name="AutoShape 4"/>
          <xdr:cNvSpPr>
            <a:spLocks noChangeArrowheads="1"/>
          </xdr:cNvSpPr>
        </xdr:nvSpPr>
        <xdr:spPr bwMode="auto">
          <a:xfrm rot="20558759" flipV="1">
            <a:off x="392" y="300"/>
            <a:ext cx="9" cy="32"/>
          </a:xfrm>
          <a:prstGeom prst="can">
            <a:avLst>
              <a:gd name="adj" fmla="val 88889"/>
            </a:avLst>
          </a:prstGeom>
          <a:gradFill rotWithShape="0">
            <a:gsLst>
              <a:gs pos="0">
                <a:srgbClr val="FFFFFF">
                  <a:gamma/>
                  <a:shade val="21176"/>
                  <a:invGamma/>
                </a:srgbClr>
              </a:gs>
              <a:gs pos="50000">
                <a:srgbClr val="FFFFFF"/>
              </a:gs>
              <a:gs pos="100000">
                <a:srgbClr val="FFFFFF">
                  <a:gamma/>
                  <a:shade val="21176"/>
                  <a:invGamma/>
                </a:srgbClr>
              </a:gs>
            </a:gsLst>
            <a:lin ang="18900000" scaled="1"/>
          </a:gra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22" name="AutoShape 6"/>
          <xdr:cNvSpPr>
            <a:spLocks noChangeArrowheads="1"/>
          </xdr:cNvSpPr>
        </xdr:nvSpPr>
        <xdr:spPr bwMode="auto">
          <a:xfrm rot="-5412657">
            <a:off x="242" y="286"/>
            <a:ext cx="21" cy="48"/>
          </a:xfrm>
          <a:prstGeom prst="can">
            <a:avLst>
              <a:gd name="adj" fmla="val 37333"/>
            </a:avLst>
          </a:prstGeom>
          <a:gradFill rotWithShape="0">
            <a:gsLst>
              <a:gs pos="0">
                <a:srgbClr val="000000"/>
              </a:gs>
              <a:gs pos="50000">
                <a:srgbClr val="FFFFFF"/>
              </a:gs>
              <a:gs pos="100000">
                <a:srgbClr val="000000"/>
              </a:gs>
            </a:gsLst>
            <a:lin ang="5400000" scaled="1"/>
          </a:gra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223" name="Freeform 7"/>
          <xdr:cNvSpPr>
            <a:spLocks/>
          </xdr:cNvSpPr>
        </xdr:nvSpPr>
        <xdr:spPr bwMode="auto">
          <a:xfrm>
            <a:off x="11" y="289"/>
            <a:ext cx="223" cy="25"/>
          </a:xfrm>
          <a:custGeom>
            <a:avLst/>
            <a:gdLst/>
            <a:ahLst/>
            <a:cxnLst>
              <a:cxn ang="0">
                <a:pos x="223" y="18"/>
              </a:cxn>
              <a:cxn ang="0">
                <a:pos x="171" y="1"/>
              </a:cxn>
              <a:cxn ang="0">
                <a:pos x="97" y="24"/>
              </a:cxn>
              <a:cxn ang="0">
                <a:pos x="15" y="8"/>
              </a:cxn>
              <a:cxn ang="0">
                <a:pos x="5" y="5"/>
              </a:cxn>
            </a:cxnLst>
            <a:rect l="0" t="0" r="r" b="b"/>
            <a:pathLst>
              <a:path w="223" h="25">
                <a:moveTo>
                  <a:pt x="223" y="18"/>
                </a:moveTo>
                <a:cubicBezTo>
                  <a:pt x="207" y="9"/>
                  <a:pt x="192" y="0"/>
                  <a:pt x="171" y="1"/>
                </a:cubicBezTo>
                <a:cubicBezTo>
                  <a:pt x="150" y="2"/>
                  <a:pt x="123" y="23"/>
                  <a:pt x="97" y="24"/>
                </a:cubicBezTo>
                <a:cubicBezTo>
                  <a:pt x="71" y="25"/>
                  <a:pt x="30" y="11"/>
                  <a:pt x="15" y="8"/>
                </a:cubicBezTo>
                <a:cubicBezTo>
                  <a:pt x="0" y="5"/>
                  <a:pt x="6" y="5"/>
                  <a:pt x="5" y="5"/>
                </a:cubicBezTo>
              </a:path>
            </a:pathLst>
          </a:custGeom>
          <a:noFill/>
          <a:ln w="38100" cmpd="sng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561975</xdr:colOff>
      <xdr:row>11</xdr:row>
      <xdr:rowOff>57150</xdr:rowOff>
    </xdr:from>
    <xdr:to>
      <xdr:col>10</xdr:col>
      <xdr:colOff>47625</xdr:colOff>
      <xdr:row>17</xdr:row>
      <xdr:rowOff>76200</xdr:rowOff>
    </xdr:to>
    <xdr:sp macro="" textlink="">
      <xdr:nvSpPr>
        <xdr:cNvPr id="9217" name="Freeform 1"/>
        <xdr:cNvSpPr>
          <a:spLocks/>
        </xdr:cNvSpPr>
      </xdr:nvSpPr>
      <xdr:spPr bwMode="auto">
        <a:xfrm>
          <a:off x="5886450" y="2428875"/>
          <a:ext cx="704850" cy="1009650"/>
        </a:xfrm>
        <a:custGeom>
          <a:avLst/>
          <a:gdLst/>
          <a:ahLst/>
          <a:cxnLst>
            <a:cxn ang="0">
              <a:pos x="2" y="66"/>
            </a:cxn>
            <a:cxn ang="0">
              <a:pos x="14" y="36"/>
            </a:cxn>
            <a:cxn ang="0">
              <a:pos x="16" y="9"/>
            </a:cxn>
            <a:cxn ang="0">
              <a:pos x="22" y="36"/>
            </a:cxn>
            <a:cxn ang="0">
              <a:pos x="21" y="55"/>
            </a:cxn>
            <a:cxn ang="0">
              <a:pos x="24" y="48"/>
            </a:cxn>
            <a:cxn ang="0">
              <a:pos x="28" y="40"/>
            </a:cxn>
            <a:cxn ang="0">
              <a:pos x="41" y="7"/>
            </a:cxn>
            <a:cxn ang="0">
              <a:pos x="45" y="21"/>
            </a:cxn>
            <a:cxn ang="0">
              <a:pos x="46" y="24"/>
            </a:cxn>
            <a:cxn ang="0">
              <a:pos x="45" y="50"/>
            </a:cxn>
            <a:cxn ang="0">
              <a:pos x="44" y="58"/>
            </a:cxn>
            <a:cxn ang="0">
              <a:pos x="43" y="61"/>
            </a:cxn>
            <a:cxn ang="0">
              <a:pos x="52" y="39"/>
            </a:cxn>
            <a:cxn ang="0">
              <a:pos x="56" y="27"/>
            </a:cxn>
            <a:cxn ang="0">
              <a:pos x="55" y="66"/>
            </a:cxn>
            <a:cxn ang="0">
              <a:pos x="56" y="71"/>
            </a:cxn>
            <a:cxn ang="0">
              <a:pos x="68" y="53"/>
            </a:cxn>
            <a:cxn ang="0">
              <a:pos x="61" y="93"/>
            </a:cxn>
            <a:cxn ang="0">
              <a:pos x="41" y="104"/>
            </a:cxn>
            <a:cxn ang="0">
              <a:pos x="33" y="106"/>
            </a:cxn>
            <a:cxn ang="0">
              <a:pos x="13" y="105"/>
            </a:cxn>
            <a:cxn ang="0">
              <a:pos x="1" y="95"/>
            </a:cxn>
            <a:cxn ang="0">
              <a:pos x="2" y="66"/>
            </a:cxn>
          </a:cxnLst>
          <a:rect l="0" t="0" r="r" b="b"/>
          <a:pathLst>
            <a:path w="74" h="106">
              <a:moveTo>
                <a:pt x="2" y="66"/>
              </a:moveTo>
              <a:cubicBezTo>
                <a:pt x="5" y="56"/>
                <a:pt x="11" y="46"/>
                <a:pt x="14" y="36"/>
              </a:cubicBezTo>
              <a:cubicBezTo>
                <a:pt x="15" y="27"/>
                <a:pt x="13" y="0"/>
                <a:pt x="16" y="9"/>
              </a:cubicBezTo>
              <a:cubicBezTo>
                <a:pt x="19" y="18"/>
                <a:pt x="21" y="26"/>
                <a:pt x="22" y="36"/>
              </a:cubicBezTo>
              <a:cubicBezTo>
                <a:pt x="22" y="42"/>
                <a:pt x="20" y="49"/>
                <a:pt x="21" y="55"/>
              </a:cubicBezTo>
              <a:cubicBezTo>
                <a:pt x="21" y="58"/>
                <a:pt x="23" y="50"/>
                <a:pt x="24" y="48"/>
              </a:cubicBezTo>
              <a:cubicBezTo>
                <a:pt x="25" y="45"/>
                <a:pt x="27" y="43"/>
                <a:pt x="28" y="40"/>
              </a:cubicBezTo>
              <a:cubicBezTo>
                <a:pt x="34" y="29"/>
                <a:pt x="39" y="19"/>
                <a:pt x="41" y="7"/>
              </a:cubicBezTo>
              <a:cubicBezTo>
                <a:pt x="44" y="17"/>
                <a:pt x="42" y="12"/>
                <a:pt x="45" y="21"/>
              </a:cubicBezTo>
              <a:cubicBezTo>
                <a:pt x="45" y="22"/>
                <a:pt x="46" y="24"/>
                <a:pt x="46" y="24"/>
              </a:cubicBezTo>
              <a:cubicBezTo>
                <a:pt x="46" y="33"/>
                <a:pt x="46" y="41"/>
                <a:pt x="45" y="50"/>
              </a:cubicBezTo>
              <a:cubicBezTo>
                <a:pt x="45" y="53"/>
                <a:pt x="44" y="55"/>
                <a:pt x="44" y="58"/>
              </a:cubicBezTo>
              <a:cubicBezTo>
                <a:pt x="44" y="59"/>
                <a:pt x="43" y="62"/>
                <a:pt x="43" y="61"/>
              </a:cubicBezTo>
              <a:cubicBezTo>
                <a:pt x="45" y="53"/>
                <a:pt x="48" y="46"/>
                <a:pt x="52" y="39"/>
              </a:cubicBezTo>
              <a:cubicBezTo>
                <a:pt x="54" y="35"/>
                <a:pt x="56" y="27"/>
                <a:pt x="56" y="27"/>
              </a:cubicBezTo>
              <a:cubicBezTo>
                <a:pt x="56" y="40"/>
                <a:pt x="56" y="53"/>
                <a:pt x="55" y="66"/>
              </a:cubicBezTo>
              <a:cubicBezTo>
                <a:pt x="55" y="72"/>
                <a:pt x="50" y="73"/>
                <a:pt x="56" y="71"/>
              </a:cubicBezTo>
              <a:cubicBezTo>
                <a:pt x="60" y="65"/>
                <a:pt x="64" y="59"/>
                <a:pt x="68" y="53"/>
              </a:cubicBezTo>
              <a:cubicBezTo>
                <a:pt x="74" y="70"/>
                <a:pt x="69" y="81"/>
                <a:pt x="61" y="93"/>
              </a:cubicBezTo>
              <a:cubicBezTo>
                <a:pt x="57" y="98"/>
                <a:pt x="46" y="103"/>
                <a:pt x="41" y="104"/>
              </a:cubicBezTo>
              <a:cubicBezTo>
                <a:pt x="38" y="105"/>
                <a:pt x="33" y="106"/>
                <a:pt x="33" y="106"/>
              </a:cubicBezTo>
              <a:cubicBezTo>
                <a:pt x="26" y="106"/>
                <a:pt x="20" y="106"/>
                <a:pt x="13" y="105"/>
              </a:cubicBezTo>
              <a:cubicBezTo>
                <a:pt x="9" y="104"/>
                <a:pt x="6" y="97"/>
                <a:pt x="1" y="95"/>
              </a:cubicBezTo>
              <a:cubicBezTo>
                <a:pt x="0" y="85"/>
                <a:pt x="2" y="76"/>
                <a:pt x="2" y="66"/>
              </a:cubicBezTo>
              <a:close/>
            </a:path>
          </a:pathLst>
        </a:custGeom>
        <a:gradFill rotWithShape="0">
          <a:gsLst>
            <a:gs pos="0">
              <a:srgbClr val="FF6600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238125</xdr:colOff>
      <xdr:row>13</xdr:row>
      <xdr:rowOff>123825</xdr:rowOff>
    </xdr:from>
    <xdr:to>
      <xdr:col>3</xdr:col>
      <xdr:colOff>57150</xdr:colOff>
      <xdr:row>18</xdr:row>
      <xdr:rowOff>9525</xdr:rowOff>
    </xdr:to>
    <xdr:sp macro="" textlink="">
      <xdr:nvSpPr>
        <xdr:cNvPr id="9225" name="AutoShape 9"/>
        <xdr:cNvSpPr>
          <a:spLocks noChangeArrowheads="1"/>
        </xdr:cNvSpPr>
      </xdr:nvSpPr>
      <xdr:spPr bwMode="auto">
        <a:xfrm>
          <a:off x="1800225" y="2838450"/>
          <a:ext cx="428625" cy="695325"/>
        </a:xfrm>
        <a:prstGeom prst="can">
          <a:avLst>
            <a:gd name="adj" fmla="val 35554"/>
          </a:avLst>
        </a:prstGeom>
        <a:gradFill rotWithShape="0">
          <a:gsLst>
            <a:gs pos="0">
              <a:srgbClr val="FF0000">
                <a:gamma/>
                <a:shade val="46275"/>
                <a:invGamma/>
              </a:srgbClr>
            </a:gs>
            <a:gs pos="50000">
              <a:srgbClr val="FF0000"/>
            </a:gs>
            <a:gs pos="100000">
              <a:srgbClr val="FF0000">
                <a:gamma/>
                <a:shade val="46275"/>
                <a:invGamma/>
              </a:srgbClr>
            </a:gs>
          </a:gsLst>
          <a:lin ang="0" scaled="1"/>
        </a:gra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476250</xdr:colOff>
      <xdr:row>12</xdr:row>
      <xdr:rowOff>133350</xdr:rowOff>
    </xdr:from>
    <xdr:to>
      <xdr:col>2</xdr:col>
      <xdr:colOff>476250</xdr:colOff>
      <xdr:row>14</xdr:row>
      <xdr:rowOff>9525</xdr:rowOff>
    </xdr:to>
    <xdr:sp macro="" textlink="">
      <xdr:nvSpPr>
        <xdr:cNvPr id="9226" name="Line 10"/>
        <xdr:cNvSpPr>
          <a:spLocks noChangeShapeType="1"/>
        </xdr:cNvSpPr>
      </xdr:nvSpPr>
      <xdr:spPr bwMode="auto">
        <a:xfrm flipH="1">
          <a:off x="2038350" y="2676525"/>
          <a:ext cx="0" cy="20955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oval" w="sm" len="sm"/>
        </a:ln>
      </xdr:spPr>
    </xdr:sp>
    <xdr:clientData/>
  </xdr:twoCellAnchor>
  <xdr:twoCellAnchor>
    <xdr:from>
      <xdr:col>2</xdr:col>
      <xdr:colOff>304800</xdr:colOff>
      <xdr:row>15</xdr:row>
      <xdr:rowOff>95250</xdr:rowOff>
    </xdr:from>
    <xdr:to>
      <xdr:col>3</xdr:col>
      <xdr:colOff>9525</xdr:colOff>
      <xdr:row>16</xdr:row>
      <xdr:rowOff>76200</xdr:rowOff>
    </xdr:to>
    <xdr:sp macro="" textlink="">
      <xdr:nvSpPr>
        <xdr:cNvPr id="9227" name="WordArt 11"/>
        <xdr:cNvSpPr>
          <a:spLocks noChangeArrowheads="1" noChangeShapeType="1" noTextEdit="1"/>
        </xdr:cNvSpPr>
      </xdr:nvSpPr>
      <xdr:spPr bwMode="auto">
        <a:xfrm>
          <a:off x="1866900" y="3133725"/>
          <a:ext cx="314325" cy="142875"/>
        </a:xfrm>
        <a:prstGeom prst="rect">
          <a:avLst/>
        </a:prstGeom>
      </xdr:spPr>
      <xdr:txBody>
        <a:bodyPr wrap="none" fromWordArt="1">
          <a:prstTxWarp prst="textCanDown">
            <a:avLst>
              <a:gd name="adj" fmla="val 14287"/>
            </a:avLst>
          </a:prstTxWarp>
        </a:bodyPr>
        <a:lstStyle/>
        <a:p>
          <a:pPr algn="ctr" rtl="0"/>
          <a:r>
            <a:rPr lang="en-US" sz="1000" b="1" kern="10" spc="20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rPr>
            <a:t>CH4</a:t>
          </a:r>
          <a:endParaRPr lang="ru-RU" sz="1000" b="1" kern="10" spc="200">
            <a:ln w="9525">
              <a:noFill/>
              <a:round/>
              <a:headEnd/>
              <a:tailEnd/>
            </a:ln>
            <a:gradFill rotWithShape="0">
              <a:gsLst>
                <a:gs pos="0">
                  <a:srgbClr val="AAAAAA"/>
                </a:gs>
                <a:gs pos="100000">
                  <a:srgbClr val="FFFFFF"/>
                </a:gs>
              </a:gsLst>
              <a:lin ang="5400000" scaled="1"/>
            </a:gradFill>
            <a:effectLst>
              <a:outerShdw dist="45791" dir="3378596" algn="ctr" rotWithShape="0">
                <a:srgbClr val="4D4D4D"/>
              </a:outerShdw>
            </a:effectLst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476250</xdr:colOff>
      <xdr:row>13</xdr:row>
      <xdr:rowOff>66675</xdr:rowOff>
    </xdr:from>
    <xdr:to>
      <xdr:col>2</xdr:col>
      <xdr:colOff>600075</xdr:colOff>
      <xdr:row>13</xdr:row>
      <xdr:rowOff>76200</xdr:rowOff>
    </xdr:to>
    <xdr:sp macro="" textlink="">
      <xdr:nvSpPr>
        <xdr:cNvPr id="9228" name="Line 12"/>
        <xdr:cNvSpPr>
          <a:spLocks noChangeShapeType="1"/>
        </xdr:cNvSpPr>
      </xdr:nvSpPr>
      <xdr:spPr bwMode="auto">
        <a:xfrm flipH="1">
          <a:off x="2038350" y="2781300"/>
          <a:ext cx="123825" cy="952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oval" w="sm" len="sm"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9</xdr:row>
      <xdr:rowOff>142875</xdr:rowOff>
    </xdr:from>
    <xdr:to>
      <xdr:col>6</xdr:col>
      <xdr:colOff>438150</xdr:colOff>
      <xdr:row>17</xdr:row>
      <xdr:rowOff>152400</xdr:rowOff>
    </xdr:to>
    <xdr:sp macro="" textlink="">
      <xdr:nvSpPr>
        <xdr:cNvPr id="16404" name="Rectangle 20"/>
        <xdr:cNvSpPr>
          <a:spLocks noChangeArrowheads="1"/>
        </xdr:cNvSpPr>
      </xdr:nvSpPr>
      <xdr:spPr bwMode="auto">
        <a:xfrm>
          <a:off x="3381375" y="1933575"/>
          <a:ext cx="257175" cy="1304925"/>
        </a:xfrm>
        <a:prstGeom prst="rect">
          <a:avLst/>
        </a:prstGeom>
        <a:gradFill rotWithShape="0">
          <a:gsLst>
            <a:gs pos="0">
              <a:srgbClr val="FFFFFF">
                <a:gamma/>
                <a:shade val="78824"/>
                <a:invGamma/>
              </a:srgbClr>
            </a:gs>
            <a:gs pos="50000">
              <a:srgbClr val="FFFFFF"/>
            </a:gs>
            <a:gs pos="100000">
              <a:srgbClr val="FFFFFF">
                <a:gamma/>
                <a:shade val="78824"/>
                <a:invGamma/>
              </a:srgbClr>
            </a:gs>
          </a:gsLst>
          <a:lin ang="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200025</xdr:colOff>
      <xdr:row>9</xdr:row>
      <xdr:rowOff>47625</xdr:rowOff>
    </xdr:from>
    <xdr:to>
      <xdr:col>6</xdr:col>
      <xdr:colOff>476250</xdr:colOff>
      <xdr:row>12</xdr:row>
      <xdr:rowOff>28575</xdr:rowOff>
    </xdr:to>
    <xdr:sp macro="" textlink="">
      <xdr:nvSpPr>
        <xdr:cNvPr id="16405" name="Freeform 21"/>
        <xdr:cNvSpPr>
          <a:spLocks/>
        </xdr:cNvSpPr>
      </xdr:nvSpPr>
      <xdr:spPr bwMode="auto">
        <a:xfrm>
          <a:off x="3400425" y="1838325"/>
          <a:ext cx="276225" cy="466725"/>
        </a:xfrm>
        <a:custGeom>
          <a:avLst/>
          <a:gdLst/>
          <a:ahLst/>
          <a:cxnLst>
            <a:cxn ang="0">
              <a:pos x="0" y="10"/>
            </a:cxn>
            <a:cxn ang="0">
              <a:pos x="11" y="3"/>
            </a:cxn>
            <a:cxn ang="0">
              <a:pos x="19" y="7"/>
            </a:cxn>
            <a:cxn ang="0">
              <a:pos x="17" y="13"/>
            </a:cxn>
            <a:cxn ang="0">
              <a:pos x="7" y="49"/>
            </a:cxn>
            <a:cxn ang="0">
              <a:pos x="8" y="36"/>
            </a:cxn>
            <a:cxn ang="0">
              <a:pos x="0" y="10"/>
            </a:cxn>
          </a:cxnLst>
          <a:rect l="0" t="0" r="r" b="b"/>
          <a:pathLst>
            <a:path w="29" h="49">
              <a:moveTo>
                <a:pt x="0" y="10"/>
              </a:moveTo>
              <a:cubicBezTo>
                <a:pt x="4" y="8"/>
                <a:pt x="7" y="4"/>
                <a:pt x="11" y="3"/>
              </a:cubicBezTo>
              <a:cubicBezTo>
                <a:pt x="13" y="8"/>
                <a:pt x="14" y="8"/>
                <a:pt x="19" y="7"/>
              </a:cubicBezTo>
              <a:cubicBezTo>
                <a:pt x="29" y="0"/>
                <a:pt x="29" y="11"/>
                <a:pt x="17" y="13"/>
              </a:cubicBezTo>
              <a:cubicBezTo>
                <a:pt x="13" y="17"/>
                <a:pt x="9" y="41"/>
                <a:pt x="7" y="49"/>
              </a:cubicBezTo>
              <a:cubicBezTo>
                <a:pt x="5" y="44"/>
                <a:pt x="7" y="41"/>
                <a:pt x="8" y="36"/>
              </a:cubicBezTo>
              <a:cubicBezTo>
                <a:pt x="7" y="31"/>
                <a:pt x="0" y="11"/>
                <a:pt x="0" y="10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238125</xdr:colOff>
      <xdr:row>10</xdr:row>
      <xdr:rowOff>0</xdr:rowOff>
    </xdr:from>
    <xdr:to>
      <xdr:col>6</xdr:col>
      <xdr:colOff>333375</xdr:colOff>
      <xdr:row>10</xdr:row>
      <xdr:rowOff>9525</xdr:rowOff>
    </xdr:to>
    <xdr:sp macro="" textlink="">
      <xdr:nvSpPr>
        <xdr:cNvPr id="16406" name="Freeform 22"/>
        <xdr:cNvSpPr>
          <a:spLocks/>
        </xdr:cNvSpPr>
      </xdr:nvSpPr>
      <xdr:spPr bwMode="auto">
        <a:xfrm>
          <a:off x="3438525" y="1952625"/>
          <a:ext cx="95250" cy="9525"/>
        </a:xfrm>
        <a:custGeom>
          <a:avLst/>
          <a:gdLst/>
          <a:ahLst/>
          <a:cxnLst>
            <a:cxn ang="0">
              <a:pos x="0" y="0"/>
            </a:cxn>
            <a:cxn ang="0">
              <a:pos x="10" y="0"/>
            </a:cxn>
          </a:cxnLst>
          <a:rect l="0" t="0" r="r" b="b"/>
          <a:pathLst>
            <a:path w="10" h="1">
              <a:moveTo>
                <a:pt x="0" y="0"/>
              </a:moveTo>
              <a:cubicBezTo>
                <a:pt x="3" y="0"/>
                <a:pt x="7" y="0"/>
                <a:pt x="10" y="0"/>
              </a:cubicBez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304800</xdr:colOff>
      <xdr:row>7</xdr:row>
      <xdr:rowOff>152400</xdr:rowOff>
    </xdr:from>
    <xdr:to>
      <xdr:col>6</xdr:col>
      <xdr:colOff>352425</xdr:colOff>
      <xdr:row>9</xdr:row>
      <xdr:rowOff>133350</xdr:rowOff>
    </xdr:to>
    <xdr:sp macro="" textlink="">
      <xdr:nvSpPr>
        <xdr:cNvPr id="16407" name="Freeform 23"/>
        <xdr:cNvSpPr>
          <a:spLocks/>
        </xdr:cNvSpPr>
      </xdr:nvSpPr>
      <xdr:spPr bwMode="auto">
        <a:xfrm>
          <a:off x="3505200" y="1619250"/>
          <a:ext cx="47625" cy="304800"/>
        </a:xfrm>
        <a:custGeom>
          <a:avLst/>
          <a:gdLst/>
          <a:ahLst/>
          <a:cxnLst>
            <a:cxn ang="0">
              <a:pos x="1" y="32"/>
            </a:cxn>
            <a:cxn ang="0">
              <a:pos x="5" y="20"/>
            </a:cxn>
            <a:cxn ang="0">
              <a:pos x="3" y="15"/>
            </a:cxn>
            <a:cxn ang="0">
              <a:pos x="1" y="32"/>
            </a:cxn>
          </a:cxnLst>
          <a:rect l="0" t="0" r="r" b="b"/>
          <a:pathLst>
            <a:path w="5" h="32">
              <a:moveTo>
                <a:pt x="1" y="32"/>
              </a:moveTo>
              <a:cubicBezTo>
                <a:pt x="2" y="27"/>
                <a:pt x="3" y="25"/>
                <a:pt x="5" y="20"/>
              </a:cubicBezTo>
              <a:cubicBezTo>
                <a:pt x="5" y="18"/>
                <a:pt x="0" y="0"/>
                <a:pt x="3" y="15"/>
              </a:cubicBezTo>
              <a:cubicBezTo>
                <a:pt x="2" y="21"/>
                <a:pt x="1" y="26"/>
                <a:pt x="1" y="32"/>
              </a:cubicBezTo>
              <a:close/>
            </a:path>
          </a:pathLst>
        </a:custGeom>
        <a:solidFill>
          <a:srgbClr val="FFFFFF"/>
        </a:solidFill>
        <a:ln w="19050" cmpd="sng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161925</xdr:colOff>
      <xdr:row>5</xdr:row>
      <xdr:rowOff>9525</xdr:rowOff>
    </xdr:from>
    <xdr:to>
      <xdr:col>6</xdr:col>
      <xdr:colOff>523875</xdr:colOff>
      <xdr:row>9</xdr:row>
      <xdr:rowOff>9525</xdr:rowOff>
    </xdr:to>
    <xdr:sp macro="" textlink="">
      <xdr:nvSpPr>
        <xdr:cNvPr id="16409" name="Freeform 25"/>
        <xdr:cNvSpPr>
          <a:spLocks/>
        </xdr:cNvSpPr>
      </xdr:nvSpPr>
      <xdr:spPr bwMode="auto">
        <a:xfrm>
          <a:off x="3362325" y="1152525"/>
          <a:ext cx="361950" cy="647700"/>
        </a:xfrm>
        <a:custGeom>
          <a:avLst/>
          <a:gdLst/>
          <a:ahLst/>
          <a:cxnLst>
            <a:cxn ang="0">
              <a:pos x="19" y="49"/>
            </a:cxn>
            <a:cxn ang="0">
              <a:pos x="13" y="53"/>
            </a:cxn>
            <a:cxn ang="0">
              <a:pos x="4" y="67"/>
            </a:cxn>
            <a:cxn ang="0">
              <a:pos x="10" y="39"/>
            </a:cxn>
            <a:cxn ang="0">
              <a:pos x="15" y="0"/>
            </a:cxn>
            <a:cxn ang="0">
              <a:pos x="23" y="9"/>
            </a:cxn>
            <a:cxn ang="0">
              <a:pos x="31" y="24"/>
            </a:cxn>
            <a:cxn ang="0">
              <a:pos x="35" y="36"/>
            </a:cxn>
            <a:cxn ang="0">
              <a:pos x="36" y="39"/>
            </a:cxn>
            <a:cxn ang="0">
              <a:pos x="25" y="68"/>
            </a:cxn>
            <a:cxn ang="0">
              <a:pos x="19" y="49"/>
            </a:cxn>
          </a:cxnLst>
          <a:rect l="0" t="0" r="r" b="b"/>
          <a:pathLst>
            <a:path w="38" h="68">
              <a:moveTo>
                <a:pt x="19" y="49"/>
              </a:moveTo>
              <a:cubicBezTo>
                <a:pt x="17" y="51"/>
                <a:pt x="15" y="51"/>
                <a:pt x="13" y="53"/>
              </a:cubicBezTo>
              <a:cubicBezTo>
                <a:pt x="8" y="58"/>
                <a:pt x="9" y="63"/>
                <a:pt x="4" y="67"/>
              </a:cubicBezTo>
              <a:cubicBezTo>
                <a:pt x="0" y="56"/>
                <a:pt x="7" y="49"/>
                <a:pt x="10" y="39"/>
              </a:cubicBezTo>
              <a:cubicBezTo>
                <a:pt x="14" y="27"/>
                <a:pt x="14" y="12"/>
                <a:pt x="15" y="0"/>
              </a:cubicBezTo>
              <a:cubicBezTo>
                <a:pt x="18" y="3"/>
                <a:pt x="20" y="6"/>
                <a:pt x="23" y="9"/>
              </a:cubicBezTo>
              <a:cubicBezTo>
                <a:pt x="25" y="14"/>
                <a:pt x="29" y="19"/>
                <a:pt x="31" y="24"/>
              </a:cubicBezTo>
              <a:cubicBezTo>
                <a:pt x="33" y="28"/>
                <a:pt x="34" y="32"/>
                <a:pt x="35" y="36"/>
              </a:cubicBezTo>
              <a:cubicBezTo>
                <a:pt x="35" y="37"/>
                <a:pt x="36" y="39"/>
                <a:pt x="36" y="39"/>
              </a:cubicBezTo>
              <a:cubicBezTo>
                <a:pt x="35" y="50"/>
                <a:pt x="38" y="65"/>
                <a:pt x="25" y="68"/>
              </a:cubicBezTo>
              <a:cubicBezTo>
                <a:pt x="24" y="63"/>
                <a:pt x="19" y="54"/>
                <a:pt x="19" y="49"/>
              </a:cubicBezTo>
              <a:close/>
            </a:path>
          </a:pathLst>
        </a:custGeom>
        <a:gradFill rotWithShape="0">
          <a:gsLst>
            <a:gs pos="0">
              <a:srgbClr val="FFFFFF"/>
            </a:gs>
            <a:gs pos="100000">
              <a:srgbClr val="FF0000"/>
            </a:gs>
          </a:gsLst>
          <a:path path="rect">
            <a:fillToRect l="50000" t="50000" r="50000" b="50000"/>
          </a:path>
        </a:gradFill>
        <a:ln w="9525">
          <a:noFill/>
          <a:round/>
          <a:headEnd/>
          <a:tailEnd/>
        </a:ln>
      </xdr:spPr>
    </xdr:sp>
    <xdr:clientData/>
  </xdr:twoCellAnchor>
  <xdr:twoCellAnchor>
    <xdr:from>
      <xdr:col>6</xdr:col>
      <xdr:colOff>104775</xdr:colOff>
      <xdr:row>18</xdr:row>
      <xdr:rowOff>19050</xdr:rowOff>
    </xdr:from>
    <xdr:to>
      <xdr:col>6</xdr:col>
      <xdr:colOff>533400</xdr:colOff>
      <xdr:row>18</xdr:row>
      <xdr:rowOff>19050</xdr:rowOff>
    </xdr:to>
    <xdr:sp macro="" textlink="">
      <xdr:nvSpPr>
        <xdr:cNvPr id="16410" name="Line 26"/>
        <xdr:cNvSpPr>
          <a:spLocks noChangeShapeType="1"/>
        </xdr:cNvSpPr>
      </xdr:nvSpPr>
      <xdr:spPr bwMode="auto">
        <a:xfrm>
          <a:off x="3305175" y="3267075"/>
          <a:ext cx="428625" cy="0"/>
        </a:xfrm>
        <a:prstGeom prst="line">
          <a:avLst/>
        </a:prstGeom>
        <a:noFill/>
        <a:ln w="76200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0</xdr:rowOff>
    </xdr:from>
    <xdr:to>
      <xdr:col>0</xdr:col>
      <xdr:colOff>628650</xdr:colOff>
      <xdr:row>21</xdr:row>
      <xdr:rowOff>76200</xdr:rowOff>
    </xdr:to>
    <xdr:sp macro="" textlink="">
      <xdr:nvSpPr>
        <xdr:cNvPr id="10241" name="WordArt 1"/>
        <xdr:cNvSpPr>
          <a:spLocks noChangeArrowheads="1" noChangeShapeType="1" noTextEdit="1"/>
        </xdr:cNvSpPr>
      </xdr:nvSpPr>
      <xdr:spPr bwMode="auto">
        <a:xfrm rot="5400000">
          <a:off x="-1219200" y="1647825"/>
          <a:ext cx="3324225" cy="371475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2400" b="1" kern="10" spc="480">
              <a:ln w="9525">
                <a:noFill/>
                <a:round/>
                <a:headEnd/>
                <a:tailEnd/>
              </a:ln>
              <a:solidFill>
                <a:srgbClr val="969696"/>
              </a:soli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rPr>
            <a:t>вязкость</a:t>
          </a:r>
        </a:p>
      </xdr:txBody>
    </xdr:sp>
    <xdr:clientData/>
  </xdr:twoCellAnchor>
  <xdr:twoCellAnchor>
    <xdr:from>
      <xdr:col>9</xdr:col>
      <xdr:colOff>142875</xdr:colOff>
      <xdr:row>1</xdr:row>
      <xdr:rowOff>85725</xdr:rowOff>
    </xdr:from>
    <xdr:to>
      <xdr:col>9</xdr:col>
      <xdr:colOff>438150</xdr:colOff>
      <xdr:row>3</xdr:row>
      <xdr:rowOff>66675</xdr:rowOff>
    </xdr:to>
    <xdr:sp macro="" textlink="">
      <xdr:nvSpPr>
        <xdr:cNvPr id="10242" name="AutoShape 2"/>
        <xdr:cNvSpPr>
          <a:spLocks noChangeArrowheads="1"/>
        </xdr:cNvSpPr>
      </xdr:nvSpPr>
      <xdr:spPr bwMode="auto">
        <a:xfrm>
          <a:off x="6057900" y="257175"/>
          <a:ext cx="295275" cy="314325"/>
        </a:xfrm>
        <a:prstGeom prst="downArrow">
          <a:avLst>
            <a:gd name="adj1" fmla="val 50000"/>
            <a:gd name="adj2" fmla="val 26613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5</xdr:row>
      <xdr:rowOff>76200</xdr:rowOff>
    </xdr:from>
    <xdr:to>
      <xdr:col>9</xdr:col>
      <xdr:colOff>133350</xdr:colOff>
      <xdr:row>11</xdr:row>
      <xdr:rowOff>76200</xdr:rowOff>
    </xdr:to>
    <xdr:sp macro="" textlink="">
      <xdr:nvSpPr>
        <xdr:cNvPr id="15364" name="AutoShape 4"/>
        <xdr:cNvSpPr>
          <a:spLocks noChangeArrowheads="1"/>
        </xdr:cNvSpPr>
      </xdr:nvSpPr>
      <xdr:spPr bwMode="auto">
        <a:xfrm>
          <a:off x="5334000" y="1219200"/>
          <a:ext cx="1028700" cy="97155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FFFFFF"/>
            </a:gs>
            <a:gs pos="100000">
              <a:srgbClr val="FFFFFF">
                <a:gamma/>
                <a:shade val="46275"/>
                <a:invGamma/>
              </a:srgbClr>
            </a:gs>
          </a:gsLst>
          <a:lin ang="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323850</xdr:colOff>
      <xdr:row>3</xdr:row>
      <xdr:rowOff>123825</xdr:rowOff>
    </xdr:from>
    <xdr:to>
      <xdr:col>9</xdr:col>
      <xdr:colOff>142875</xdr:colOff>
      <xdr:row>6</xdr:row>
      <xdr:rowOff>114300</xdr:rowOff>
    </xdr:to>
    <xdr:sp macro="" textlink="">
      <xdr:nvSpPr>
        <xdr:cNvPr id="15361" name="Oval 1"/>
        <xdr:cNvSpPr>
          <a:spLocks noChangeArrowheads="1"/>
        </xdr:cNvSpPr>
      </xdr:nvSpPr>
      <xdr:spPr bwMode="auto">
        <a:xfrm>
          <a:off x="5334000" y="942975"/>
          <a:ext cx="1038225" cy="4762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409575</xdr:colOff>
      <xdr:row>4</xdr:row>
      <xdr:rowOff>28575</xdr:rowOff>
    </xdr:from>
    <xdr:to>
      <xdr:col>9</xdr:col>
      <xdr:colOff>57150</xdr:colOff>
      <xdr:row>6</xdr:row>
      <xdr:rowOff>47625</xdr:rowOff>
    </xdr:to>
    <xdr:sp macro="" textlink="">
      <xdr:nvSpPr>
        <xdr:cNvPr id="15362" name="Oval 2"/>
        <xdr:cNvSpPr>
          <a:spLocks noChangeArrowheads="1"/>
        </xdr:cNvSpPr>
      </xdr:nvSpPr>
      <xdr:spPr bwMode="auto">
        <a:xfrm>
          <a:off x="5419725" y="1009650"/>
          <a:ext cx="866775" cy="342900"/>
        </a:xfrm>
        <a:prstGeom prst="ellipse">
          <a:avLst/>
        </a:prstGeom>
        <a:gradFill rotWithShape="0">
          <a:gsLst>
            <a:gs pos="0">
              <a:srgbClr val="FF0000"/>
            </a:gs>
            <a:gs pos="50000">
              <a:srgbClr val="FFFFFF"/>
            </a:gs>
            <a:gs pos="100000">
              <a:srgbClr val="FF0000"/>
            </a:gs>
          </a:gsLst>
          <a:lin ang="0" scaled="1"/>
        </a:gra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371475</xdr:colOff>
      <xdr:row>6</xdr:row>
      <xdr:rowOff>95250</xdr:rowOff>
    </xdr:from>
    <xdr:to>
      <xdr:col>9</xdr:col>
      <xdr:colOff>66675</xdr:colOff>
      <xdr:row>7</xdr:row>
      <xdr:rowOff>95250</xdr:rowOff>
    </xdr:to>
    <xdr:sp macro="" textlink="">
      <xdr:nvSpPr>
        <xdr:cNvPr id="15363" name="Arc 3"/>
        <xdr:cNvSpPr>
          <a:spLocks/>
        </xdr:cNvSpPr>
      </xdr:nvSpPr>
      <xdr:spPr bwMode="auto">
        <a:xfrm flipH="1" flipV="1">
          <a:off x="5381625" y="1400175"/>
          <a:ext cx="914400" cy="161925"/>
        </a:xfrm>
        <a:custGeom>
          <a:avLst/>
          <a:gdLst>
            <a:gd name="G0" fmla="+- 19982 0 0"/>
            <a:gd name="G1" fmla="+- 21600 0 0"/>
            <a:gd name="G2" fmla="+- 21600 0 0"/>
            <a:gd name="T0" fmla="*/ 0 w 41582"/>
            <a:gd name="T1" fmla="*/ 13397 h 21600"/>
            <a:gd name="T2" fmla="*/ 41582 w 41582"/>
            <a:gd name="T3" fmla="*/ 21600 h 21600"/>
            <a:gd name="T4" fmla="*/ 19982 w 41582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1582" h="21600" fill="none" extrusionOk="0">
              <a:moveTo>
                <a:pt x="0" y="13397"/>
              </a:moveTo>
              <a:cubicBezTo>
                <a:pt x="3327" y="5292"/>
                <a:pt x="11220" y="-1"/>
                <a:pt x="19982" y="0"/>
              </a:cubicBezTo>
              <a:cubicBezTo>
                <a:pt x="31911" y="0"/>
                <a:pt x="41582" y="9670"/>
                <a:pt x="41582" y="21600"/>
              </a:cubicBezTo>
            </a:path>
            <a:path w="41582" h="21600" stroke="0" extrusionOk="0">
              <a:moveTo>
                <a:pt x="0" y="13397"/>
              </a:moveTo>
              <a:cubicBezTo>
                <a:pt x="3327" y="5292"/>
                <a:pt x="11220" y="-1"/>
                <a:pt x="19982" y="0"/>
              </a:cubicBezTo>
              <a:cubicBezTo>
                <a:pt x="31911" y="0"/>
                <a:pt x="41582" y="9670"/>
                <a:pt x="41582" y="21600"/>
              </a:cubicBezTo>
              <a:lnTo>
                <a:pt x="19982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10</xdr:row>
      <xdr:rowOff>152400</xdr:rowOff>
    </xdr:from>
    <xdr:to>
      <xdr:col>8</xdr:col>
      <xdr:colOff>476250</xdr:colOff>
      <xdr:row>11</xdr:row>
      <xdr:rowOff>152400</xdr:rowOff>
    </xdr:to>
    <xdr:sp macro="" textlink="">
      <xdr:nvSpPr>
        <xdr:cNvPr id="15365" name="Oval 5"/>
        <xdr:cNvSpPr>
          <a:spLocks noChangeArrowheads="1"/>
        </xdr:cNvSpPr>
      </xdr:nvSpPr>
      <xdr:spPr bwMode="auto">
        <a:xfrm>
          <a:off x="5610225" y="2105025"/>
          <a:ext cx="485775" cy="161925"/>
        </a:xfrm>
        <a:prstGeom prst="ellipse">
          <a:avLst/>
        </a:prstGeom>
        <a:gradFill rotWithShape="0">
          <a:gsLst>
            <a:gs pos="0">
              <a:srgbClr val="FFFFFF"/>
            </a:gs>
            <a:gs pos="100000">
              <a:srgbClr val="FFFFFF">
                <a:gamma/>
                <a:shade val="46275"/>
                <a:invGamma/>
              </a:srgbClr>
            </a:gs>
          </a:gsLst>
          <a:lin ang="0" scaled="1"/>
        </a:gra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590550</xdr:colOff>
      <xdr:row>11</xdr:row>
      <xdr:rowOff>47625</xdr:rowOff>
    </xdr:from>
    <xdr:to>
      <xdr:col>8</xdr:col>
      <xdr:colOff>485775</xdr:colOff>
      <xdr:row>11</xdr:row>
      <xdr:rowOff>152400</xdr:rowOff>
    </xdr:to>
    <xdr:sp macro="" textlink="">
      <xdr:nvSpPr>
        <xdr:cNvPr id="15366" name="Arc 6"/>
        <xdr:cNvSpPr>
          <a:spLocks/>
        </xdr:cNvSpPr>
      </xdr:nvSpPr>
      <xdr:spPr bwMode="auto">
        <a:xfrm flipH="1" flipV="1">
          <a:off x="5600700" y="2162175"/>
          <a:ext cx="504825" cy="104775"/>
        </a:xfrm>
        <a:custGeom>
          <a:avLst/>
          <a:gdLst>
            <a:gd name="G0" fmla="+- 18477 0 0"/>
            <a:gd name="G1" fmla="+- 21600 0 0"/>
            <a:gd name="G2" fmla="+- 21600 0 0"/>
            <a:gd name="T0" fmla="*/ 0 w 40077"/>
            <a:gd name="T1" fmla="*/ 10413 h 21600"/>
            <a:gd name="T2" fmla="*/ 40077 w 40077"/>
            <a:gd name="T3" fmla="*/ 21600 h 21600"/>
            <a:gd name="T4" fmla="*/ 18477 w 40077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0077" h="21600" fill="none" extrusionOk="0">
              <a:moveTo>
                <a:pt x="-1" y="10412"/>
              </a:moveTo>
              <a:cubicBezTo>
                <a:pt x="3913" y="3948"/>
                <a:pt x="10920" y="-1"/>
                <a:pt x="18477" y="0"/>
              </a:cubicBezTo>
              <a:cubicBezTo>
                <a:pt x="30406" y="0"/>
                <a:pt x="40077" y="9670"/>
                <a:pt x="40077" y="21600"/>
              </a:cubicBezTo>
            </a:path>
            <a:path w="40077" h="21600" stroke="0" extrusionOk="0">
              <a:moveTo>
                <a:pt x="-1" y="10412"/>
              </a:moveTo>
              <a:cubicBezTo>
                <a:pt x="3913" y="3948"/>
                <a:pt x="10920" y="-1"/>
                <a:pt x="18477" y="0"/>
              </a:cubicBezTo>
              <a:cubicBezTo>
                <a:pt x="30406" y="0"/>
                <a:pt x="40077" y="9670"/>
                <a:pt x="40077" y="21600"/>
              </a:cubicBezTo>
              <a:lnTo>
                <a:pt x="18477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581025</xdr:colOff>
      <xdr:row>5</xdr:row>
      <xdr:rowOff>133350</xdr:rowOff>
    </xdr:from>
    <xdr:to>
      <xdr:col>8</xdr:col>
      <xdr:colOff>533400</xdr:colOff>
      <xdr:row>15</xdr:row>
      <xdr:rowOff>76200</xdr:rowOff>
    </xdr:to>
    <xdr:sp macro="" textlink="">
      <xdr:nvSpPr>
        <xdr:cNvPr id="15367" name="Freeform 7"/>
        <xdr:cNvSpPr>
          <a:spLocks/>
        </xdr:cNvSpPr>
      </xdr:nvSpPr>
      <xdr:spPr bwMode="auto">
        <a:xfrm>
          <a:off x="5591175" y="1276350"/>
          <a:ext cx="561975" cy="1562100"/>
        </a:xfrm>
        <a:custGeom>
          <a:avLst/>
          <a:gdLst/>
          <a:ahLst/>
          <a:cxnLst>
            <a:cxn ang="0">
              <a:pos x="2" y="2"/>
            </a:cxn>
            <a:cxn ang="0">
              <a:pos x="56" y="3"/>
            </a:cxn>
            <a:cxn ang="0">
              <a:pos x="55" y="12"/>
            </a:cxn>
            <a:cxn ang="0">
              <a:pos x="53" y="35"/>
            </a:cxn>
            <a:cxn ang="0">
              <a:pos x="50" y="85"/>
            </a:cxn>
            <a:cxn ang="0">
              <a:pos x="41" y="33"/>
            </a:cxn>
            <a:cxn ang="0">
              <a:pos x="43" y="86"/>
            </a:cxn>
            <a:cxn ang="0">
              <a:pos x="42" y="113"/>
            </a:cxn>
            <a:cxn ang="0">
              <a:pos x="40" y="103"/>
            </a:cxn>
            <a:cxn ang="0">
              <a:pos x="37" y="95"/>
            </a:cxn>
            <a:cxn ang="0">
              <a:pos x="32" y="59"/>
            </a:cxn>
            <a:cxn ang="0">
              <a:pos x="29" y="43"/>
            </a:cxn>
            <a:cxn ang="0">
              <a:pos x="25" y="84"/>
            </a:cxn>
            <a:cxn ang="0">
              <a:pos x="18" y="45"/>
            </a:cxn>
            <a:cxn ang="0">
              <a:pos x="15" y="77"/>
            </a:cxn>
            <a:cxn ang="0">
              <a:pos x="12" y="61"/>
            </a:cxn>
            <a:cxn ang="0">
              <a:pos x="5" y="21"/>
            </a:cxn>
            <a:cxn ang="0">
              <a:pos x="2" y="2"/>
            </a:cxn>
          </a:cxnLst>
          <a:rect l="0" t="0" r="r" b="b"/>
          <a:pathLst>
            <a:path w="59" h="116">
              <a:moveTo>
                <a:pt x="2" y="2"/>
              </a:moveTo>
              <a:cubicBezTo>
                <a:pt x="20" y="2"/>
                <a:pt x="38" y="0"/>
                <a:pt x="56" y="3"/>
              </a:cubicBezTo>
              <a:cubicBezTo>
                <a:pt x="59" y="4"/>
                <a:pt x="55" y="9"/>
                <a:pt x="55" y="12"/>
              </a:cubicBezTo>
              <a:cubicBezTo>
                <a:pt x="54" y="20"/>
                <a:pt x="53" y="35"/>
                <a:pt x="53" y="35"/>
              </a:cubicBezTo>
              <a:cubicBezTo>
                <a:pt x="53" y="40"/>
                <a:pt x="54" y="78"/>
                <a:pt x="50" y="85"/>
              </a:cubicBezTo>
              <a:cubicBezTo>
                <a:pt x="45" y="76"/>
                <a:pt x="43" y="46"/>
                <a:pt x="41" y="33"/>
              </a:cubicBezTo>
              <a:cubicBezTo>
                <a:pt x="35" y="36"/>
                <a:pt x="42" y="77"/>
                <a:pt x="43" y="86"/>
              </a:cubicBezTo>
              <a:cubicBezTo>
                <a:pt x="43" y="95"/>
                <a:pt x="43" y="104"/>
                <a:pt x="42" y="113"/>
              </a:cubicBezTo>
              <a:cubicBezTo>
                <a:pt x="42" y="116"/>
                <a:pt x="41" y="106"/>
                <a:pt x="40" y="103"/>
              </a:cubicBezTo>
              <a:cubicBezTo>
                <a:pt x="35" y="85"/>
                <a:pt x="40" y="112"/>
                <a:pt x="37" y="95"/>
              </a:cubicBezTo>
              <a:cubicBezTo>
                <a:pt x="35" y="83"/>
                <a:pt x="34" y="71"/>
                <a:pt x="32" y="59"/>
              </a:cubicBezTo>
              <a:cubicBezTo>
                <a:pt x="31" y="54"/>
                <a:pt x="29" y="43"/>
                <a:pt x="29" y="43"/>
              </a:cubicBezTo>
              <a:cubicBezTo>
                <a:pt x="25" y="56"/>
                <a:pt x="31" y="72"/>
                <a:pt x="25" y="84"/>
              </a:cubicBezTo>
              <a:cubicBezTo>
                <a:pt x="22" y="71"/>
                <a:pt x="19" y="58"/>
                <a:pt x="18" y="45"/>
              </a:cubicBezTo>
              <a:cubicBezTo>
                <a:pt x="15" y="55"/>
                <a:pt x="16" y="66"/>
                <a:pt x="15" y="77"/>
              </a:cubicBezTo>
              <a:cubicBezTo>
                <a:pt x="13" y="72"/>
                <a:pt x="13" y="66"/>
                <a:pt x="12" y="61"/>
              </a:cubicBezTo>
              <a:cubicBezTo>
                <a:pt x="11" y="47"/>
                <a:pt x="9" y="34"/>
                <a:pt x="5" y="21"/>
              </a:cubicBezTo>
              <a:cubicBezTo>
                <a:pt x="3" y="16"/>
                <a:pt x="0" y="7"/>
                <a:pt x="2" y="2"/>
              </a:cubicBezTo>
              <a:close/>
            </a:path>
          </a:pathLst>
        </a:custGeom>
        <a:gradFill rotWithShape="0">
          <a:gsLst>
            <a:gs pos="0">
              <a:srgbClr val="FF6600"/>
            </a:gs>
            <a:gs pos="100000">
              <a:srgbClr val="FFFF99"/>
            </a:gs>
          </a:gsLst>
          <a:lin ang="5400000" scaled="1"/>
        </a:gradFill>
        <a:ln w="9525">
          <a:noFill/>
          <a:round/>
          <a:headEnd/>
          <a:tailEnd/>
        </a:ln>
      </xdr:spPr>
    </xdr:sp>
    <xdr:clientData/>
  </xdr:twoCellAnchor>
  <xdr:twoCellAnchor>
    <xdr:from>
      <xdr:col>7</xdr:col>
      <xdr:colOff>180975</xdr:colOff>
      <xdr:row>4</xdr:row>
      <xdr:rowOff>133350</xdr:rowOff>
    </xdr:from>
    <xdr:to>
      <xdr:col>7</xdr:col>
      <xdr:colOff>323850</xdr:colOff>
      <xdr:row>7</xdr:row>
      <xdr:rowOff>19050</xdr:rowOff>
    </xdr:to>
    <xdr:sp macro="" textlink="">
      <xdr:nvSpPr>
        <xdr:cNvPr id="15368" name="Rectangle 8"/>
        <xdr:cNvSpPr>
          <a:spLocks noChangeArrowheads="1"/>
        </xdr:cNvSpPr>
      </xdr:nvSpPr>
      <xdr:spPr bwMode="auto">
        <a:xfrm>
          <a:off x="5191125" y="1114425"/>
          <a:ext cx="142875" cy="371475"/>
        </a:xfrm>
        <a:prstGeom prst="rect">
          <a:avLst/>
        </a:prstGeom>
        <a:gradFill rotWithShape="0">
          <a:gsLst>
            <a:gs pos="0">
              <a:srgbClr val="000000"/>
            </a:gs>
            <a:gs pos="50000">
              <a:srgbClr val="FFFFFF"/>
            </a:gs>
            <a:gs pos="100000">
              <a:srgbClr val="0000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133350</xdr:colOff>
      <xdr:row>4</xdr:row>
      <xdr:rowOff>104775</xdr:rowOff>
    </xdr:from>
    <xdr:to>
      <xdr:col>9</xdr:col>
      <xdr:colOff>276225</xdr:colOff>
      <xdr:row>6</xdr:row>
      <xdr:rowOff>152400</xdr:rowOff>
    </xdr:to>
    <xdr:sp macro="" textlink="">
      <xdr:nvSpPr>
        <xdr:cNvPr id="15369" name="Rectangle 9"/>
        <xdr:cNvSpPr>
          <a:spLocks noChangeArrowheads="1"/>
        </xdr:cNvSpPr>
      </xdr:nvSpPr>
      <xdr:spPr bwMode="auto">
        <a:xfrm>
          <a:off x="6362700" y="1085850"/>
          <a:ext cx="142875" cy="371475"/>
        </a:xfrm>
        <a:prstGeom prst="rect">
          <a:avLst/>
        </a:prstGeom>
        <a:gradFill rotWithShape="0">
          <a:gsLst>
            <a:gs pos="0">
              <a:srgbClr val="000000"/>
            </a:gs>
            <a:gs pos="50000">
              <a:srgbClr val="FFFFFF"/>
            </a:gs>
            <a:gs pos="100000">
              <a:srgbClr val="0000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104775</xdr:colOff>
      <xdr:row>5</xdr:row>
      <xdr:rowOff>85725</xdr:rowOff>
    </xdr:from>
    <xdr:to>
      <xdr:col>7</xdr:col>
      <xdr:colOff>161925</xdr:colOff>
      <xdr:row>6</xdr:row>
      <xdr:rowOff>57150</xdr:rowOff>
    </xdr:to>
    <xdr:sp macro="" textlink="">
      <xdr:nvSpPr>
        <xdr:cNvPr id="15370" name="Rectangle 10"/>
        <xdr:cNvSpPr>
          <a:spLocks noChangeArrowheads="1"/>
        </xdr:cNvSpPr>
      </xdr:nvSpPr>
      <xdr:spPr bwMode="auto">
        <a:xfrm>
          <a:off x="5114925" y="1228725"/>
          <a:ext cx="57150" cy="133350"/>
        </a:xfrm>
        <a:prstGeom prst="rect">
          <a:avLst/>
        </a:prstGeom>
        <a:gradFill rotWithShape="0">
          <a:gsLst>
            <a:gs pos="0">
              <a:srgbClr val="000000"/>
            </a:gs>
            <a:gs pos="50000">
              <a:srgbClr val="FFFFFF"/>
            </a:gs>
            <a:gs pos="100000">
              <a:srgbClr val="0000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295275</xdr:colOff>
      <xdr:row>5</xdr:row>
      <xdr:rowOff>47625</xdr:rowOff>
    </xdr:from>
    <xdr:to>
      <xdr:col>9</xdr:col>
      <xdr:colOff>352425</xdr:colOff>
      <xdr:row>6</xdr:row>
      <xdr:rowOff>19050</xdr:rowOff>
    </xdr:to>
    <xdr:sp macro="" textlink="">
      <xdr:nvSpPr>
        <xdr:cNvPr id="15371" name="Rectangle 11"/>
        <xdr:cNvSpPr>
          <a:spLocks noChangeArrowheads="1"/>
        </xdr:cNvSpPr>
      </xdr:nvSpPr>
      <xdr:spPr bwMode="auto">
        <a:xfrm>
          <a:off x="6524625" y="1190625"/>
          <a:ext cx="57150" cy="133350"/>
        </a:xfrm>
        <a:prstGeom prst="rect">
          <a:avLst/>
        </a:prstGeom>
        <a:gradFill rotWithShape="0">
          <a:gsLst>
            <a:gs pos="0">
              <a:srgbClr val="000000"/>
            </a:gs>
            <a:gs pos="50000">
              <a:srgbClr val="FFFFFF"/>
            </a:gs>
            <a:gs pos="100000">
              <a:srgbClr val="000000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219075</xdr:colOff>
      <xdr:row>1</xdr:row>
      <xdr:rowOff>371475</xdr:rowOff>
    </xdr:from>
    <xdr:to>
      <xdr:col>7</xdr:col>
      <xdr:colOff>295275</xdr:colOff>
      <xdr:row>4</xdr:row>
      <xdr:rowOff>123825</xdr:rowOff>
    </xdr:to>
    <xdr:sp macro="" textlink="">
      <xdr:nvSpPr>
        <xdr:cNvPr id="15372" name="Rectangle 12"/>
        <xdr:cNvSpPr>
          <a:spLocks noChangeArrowheads="1"/>
        </xdr:cNvSpPr>
      </xdr:nvSpPr>
      <xdr:spPr bwMode="auto">
        <a:xfrm>
          <a:off x="5229225" y="542925"/>
          <a:ext cx="76200" cy="561975"/>
        </a:xfrm>
        <a:prstGeom prst="rect">
          <a:avLst/>
        </a:prstGeom>
        <a:gradFill rotWithShape="0">
          <a:gsLst>
            <a:gs pos="0">
              <a:srgbClr val="FFFFFF"/>
            </a:gs>
            <a:gs pos="100000">
              <a:srgbClr val="FFFF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161925</xdr:colOff>
      <xdr:row>1</xdr:row>
      <xdr:rowOff>352425</xdr:rowOff>
    </xdr:from>
    <xdr:to>
      <xdr:col>9</xdr:col>
      <xdr:colOff>238125</xdr:colOff>
      <xdr:row>4</xdr:row>
      <xdr:rowOff>104775</xdr:rowOff>
    </xdr:to>
    <xdr:sp macro="" textlink="">
      <xdr:nvSpPr>
        <xdr:cNvPr id="15373" name="Rectangle 13"/>
        <xdr:cNvSpPr>
          <a:spLocks noChangeArrowheads="1"/>
        </xdr:cNvSpPr>
      </xdr:nvSpPr>
      <xdr:spPr bwMode="auto">
        <a:xfrm>
          <a:off x="6391275" y="523875"/>
          <a:ext cx="76200" cy="561975"/>
        </a:xfrm>
        <a:prstGeom prst="rect">
          <a:avLst/>
        </a:prstGeom>
        <a:gradFill rotWithShape="0">
          <a:gsLst>
            <a:gs pos="0">
              <a:srgbClr val="FFFFFF"/>
            </a:gs>
            <a:gs pos="100000">
              <a:srgbClr val="FFFFFF">
                <a:gamma/>
                <a:shade val="46275"/>
                <a:invGamma/>
              </a:srgbClr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209550</xdr:colOff>
      <xdr:row>1</xdr:row>
      <xdr:rowOff>285750</xdr:rowOff>
    </xdr:from>
    <xdr:to>
      <xdr:col>9</xdr:col>
      <xdr:colOff>228600</xdr:colOff>
      <xdr:row>1</xdr:row>
      <xdr:rowOff>381000</xdr:rowOff>
    </xdr:to>
    <xdr:sp macro="" textlink="">
      <xdr:nvSpPr>
        <xdr:cNvPr id="15374" name="Rectangle 14"/>
        <xdr:cNvSpPr>
          <a:spLocks noChangeArrowheads="1"/>
        </xdr:cNvSpPr>
      </xdr:nvSpPr>
      <xdr:spPr bwMode="auto">
        <a:xfrm>
          <a:off x="5219700" y="457200"/>
          <a:ext cx="1238250" cy="952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390525</xdr:colOff>
      <xdr:row>14</xdr:row>
      <xdr:rowOff>133350</xdr:rowOff>
    </xdr:from>
    <xdr:to>
      <xdr:col>9</xdr:col>
      <xdr:colOff>276225</xdr:colOff>
      <xdr:row>19</xdr:row>
      <xdr:rowOff>66675</xdr:rowOff>
    </xdr:to>
    <xdr:sp macro="" textlink="">
      <xdr:nvSpPr>
        <xdr:cNvPr id="15375" name="AutoShape 15"/>
        <xdr:cNvSpPr>
          <a:spLocks noChangeArrowheads="1"/>
        </xdr:cNvSpPr>
      </xdr:nvSpPr>
      <xdr:spPr bwMode="auto">
        <a:xfrm>
          <a:off x="5400675" y="2733675"/>
          <a:ext cx="1104900" cy="742950"/>
        </a:xfrm>
        <a:prstGeom prst="irregularSeal1">
          <a:avLst/>
        </a:pr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171450</xdr:colOff>
      <xdr:row>13</xdr:row>
      <xdr:rowOff>123825</xdr:rowOff>
    </xdr:from>
    <xdr:to>
      <xdr:col>8</xdr:col>
      <xdr:colOff>123825</xdr:colOff>
      <xdr:row>13</xdr:row>
      <xdr:rowOff>152400</xdr:rowOff>
    </xdr:to>
    <xdr:sp macro="" textlink="">
      <xdr:nvSpPr>
        <xdr:cNvPr id="15376" name="AutoShape 16"/>
        <xdr:cNvSpPr>
          <a:spLocks noChangeArrowheads="1"/>
        </xdr:cNvSpPr>
      </xdr:nvSpPr>
      <xdr:spPr bwMode="auto">
        <a:xfrm rot="-13859686">
          <a:off x="5448300" y="2295525"/>
          <a:ext cx="28575" cy="561975"/>
        </a:xfrm>
        <a:prstGeom prst="triangle">
          <a:avLst>
            <a:gd name="adj" fmla="val 50000"/>
          </a:avLst>
        </a:prstGeom>
        <a:solidFill>
          <a:srgbClr val="FF99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466725</xdr:colOff>
      <xdr:row>14</xdr:row>
      <xdr:rowOff>28575</xdr:rowOff>
    </xdr:from>
    <xdr:to>
      <xdr:col>8</xdr:col>
      <xdr:colOff>47625</xdr:colOff>
      <xdr:row>14</xdr:row>
      <xdr:rowOff>76200</xdr:rowOff>
    </xdr:to>
    <xdr:sp macro="" textlink="">
      <xdr:nvSpPr>
        <xdr:cNvPr id="15377" name="AutoShape 17"/>
        <xdr:cNvSpPr>
          <a:spLocks noChangeArrowheads="1"/>
        </xdr:cNvSpPr>
      </xdr:nvSpPr>
      <xdr:spPr bwMode="auto">
        <a:xfrm rot="-14518524">
          <a:off x="5243512" y="2252663"/>
          <a:ext cx="47625" cy="800100"/>
        </a:xfrm>
        <a:prstGeom prst="triangle">
          <a:avLst>
            <a:gd name="adj" fmla="val 50000"/>
          </a:avLst>
        </a:prstGeom>
        <a:solidFill>
          <a:srgbClr val="FF99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304800</xdr:colOff>
      <xdr:row>10</xdr:row>
      <xdr:rowOff>76200</xdr:rowOff>
    </xdr:from>
    <xdr:to>
      <xdr:col>9</xdr:col>
      <xdr:colOff>352425</xdr:colOff>
      <xdr:row>15</xdr:row>
      <xdr:rowOff>66675</xdr:rowOff>
    </xdr:to>
    <xdr:sp macro="" textlink="">
      <xdr:nvSpPr>
        <xdr:cNvPr id="15378" name="AutoShape 18"/>
        <xdr:cNvSpPr>
          <a:spLocks noChangeArrowheads="1"/>
        </xdr:cNvSpPr>
      </xdr:nvSpPr>
      <xdr:spPr bwMode="auto">
        <a:xfrm rot="-8781323">
          <a:off x="6534150" y="2028825"/>
          <a:ext cx="47625" cy="800100"/>
        </a:xfrm>
        <a:prstGeom prst="triangle">
          <a:avLst>
            <a:gd name="adj" fmla="val 100000"/>
          </a:avLst>
        </a:prstGeom>
        <a:solidFill>
          <a:srgbClr val="FF990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438150</xdr:colOff>
      <xdr:row>11</xdr:row>
      <xdr:rowOff>0</xdr:rowOff>
    </xdr:from>
    <xdr:to>
      <xdr:col>9</xdr:col>
      <xdr:colOff>466725</xdr:colOff>
      <xdr:row>16</xdr:row>
      <xdr:rowOff>38100</xdr:rowOff>
    </xdr:to>
    <xdr:sp macro="" textlink="">
      <xdr:nvSpPr>
        <xdr:cNvPr id="15379" name="AutoShape 19"/>
        <xdr:cNvSpPr>
          <a:spLocks noChangeArrowheads="1"/>
        </xdr:cNvSpPr>
      </xdr:nvSpPr>
      <xdr:spPr bwMode="auto">
        <a:xfrm rot="-8201853">
          <a:off x="6667500" y="2114550"/>
          <a:ext cx="28575" cy="847725"/>
        </a:xfrm>
        <a:prstGeom prst="triangle">
          <a:avLst>
            <a:gd name="adj" fmla="val 100000"/>
          </a:avLst>
        </a:prstGeom>
        <a:solidFill>
          <a:srgbClr val="FF9900"/>
        </a:solidFill>
        <a:ln w="9525">
          <a:noFill/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781050</xdr:colOff>
      <xdr:row>1</xdr:row>
      <xdr:rowOff>9525</xdr:rowOff>
    </xdr:from>
    <xdr:to>
      <xdr:col>6</xdr:col>
      <xdr:colOff>66675</xdr:colOff>
      <xdr:row>1</xdr:row>
      <xdr:rowOff>152400</xdr:rowOff>
    </xdr:to>
    <xdr:grpSp>
      <xdr:nvGrpSpPr>
        <xdr:cNvPr id="23553" name="Group 1"/>
        <xdr:cNvGrpSpPr>
          <a:grpSpLocks/>
        </xdr:cNvGrpSpPr>
      </xdr:nvGrpSpPr>
      <xdr:grpSpPr bwMode="auto">
        <a:xfrm>
          <a:off x="4891454" y="178044"/>
          <a:ext cx="106240" cy="142875"/>
          <a:chOff x="418" y="17"/>
          <a:chExt cx="11" cy="15"/>
        </a:xfrm>
      </xdr:grpSpPr>
      <xdr:sp macro="" textlink="">
        <xdr:nvSpPr>
          <xdr:cNvPr id="23554" name="Line 2"/>
          <xdr:cNvSpPr>
            <a:spLocks noChangeShapeType="1"/>
          </xdr:cNvSpPr>
        </xdr:nvSpPr>
        <xdr:spPr bwMode="auto">
          <a:xfrm flipH="1">
            <a:off x="418" y="23"/>
            <a:ext cx="5" cy="9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3555" name="Line 3"/>
          <xdr:cNvSpPr>
            <a:spLocks noChangeShapeType="1"/>
          </xdr:cNvSpPr>
        </xdr:nvSpPr>
        <xdr:spPr bwMode="auto">
          <a:xfrm>
            <a:off x="419" y="17"/>
            <a:ext cx="10" cy="15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7</xdr:col>
      <xdr:colOff>171450</xdr:colOff>
      <xdr:row>1</xdr:row>
      <xdr:rowOff>0</xdr:rowOff>
    </xdr:from>
    <xdr:to>
      <xdr:col>9</xdr:col>
      <xdr:colOff>114300</xdr:colOff>
      <xdr:row>35</xdr:row>
      <xdr:rowOff>57150</xdr:rowOff>
    </xdr:to>
    <xdr:sp macro="" textlink="">
      <xdr:nvSpPr>
        <xdr:cNvPr id="23556" name="Rectangle 4" descr="Водяные капли"/>
        <xdr:cNvSpPr>
          <a:spLocks noChangeArrowheads="1"/>
        </xdr:cNvSpPr>
      </xdr:nvSpPr>
      <xdr:spPr bwMode="auto">
        <a:xfrm>
          <a:off x="5924550" y="171450"/>
          <a:ext cx="1162050" cy="5581650"/>
        </a:xfrm>
        <a:prstGeom prst="rect">
          <a:avLst/>
        </a:prstGeom>
        <a:blipFill dpi="0" rotWithShape="0">
          <a:blip xmlns:r="http://schemas.openxmlformats.org/officeDocument/2006/relationships" r:embed="rId1"/>
          <a:srcRect/>
          <a:tile tx="0" ty="0" sx="100000" sy="100000" flip="none" algn="tl"/>
        </a:blip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438150</xdr:colOff>
      <xdr:row>2</xdr:row>
      <xdr:rowOff>9525</xdr:rowOff>
    </xdr:from>
    <xdr:to>
      <xdr:col>8</xdr:col>
      <xdr:colOff>400050</xdr:colOff>
      <xdr:row>21</xdr:row>
      <xdr:rowOff>104775</xdr:rowOff>
    </xdr:to>
    <xdr:sp macro="" textlink="">
      <xdr:nvSpPr>
        <xdr:cNvPr id="23557" name="WordArt 5"/>
        <xdr:cNvSpPr>
          <a:spLocks noChangeArrowheads="1" noChangeShapeType="1" noTextEdit="1"/>
        </xdr:cNvSpPr>
      </xdr:nvSpPr>
      <xdr:spPr bwMode="auto">
        <a:xfrm rot="5400000">
          <a:off x="4891087" y="1652588"/>
          <a:ext cx="3171825" cy="571500"/>
        </a:xfrm>
        <a:prstGeom prst="rect">
          <a:avLst/>
        </a:prstGeom>
      </xdr:spPr>
      <xdr:txBody>
        <a:bodyPr vert="wordArtVert"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 fontAlgn="auto"/>
          <a:r>
            <a:rPr lang="ru-RU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ТЕПЛОИЗОЛЯЦИЯ</a:t>
          </a:r>
        </a:p>
      </xdr:txBody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114300</xdr:colOff>
      <xdr:row>36</xdr:row>
      <xdr:rowOff>9525</xdr:rowOff>
    </xdr:to>
    <xdr:pic>
      <xdr:nvPicPr>
        <xdr:cNvPr id="23558" name="Picture 6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114300</xdr:colOff>
      <xdr:row>36</xdr:row>
      <xdr:rowOff>9525</xdr:rowOff>
    </xdr:to>
    <xdr:pic>
      <xdr:nvPicPr>
        <xdr:cNvPr id="23559" name="Picture 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600325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114300</xdr:colOff>
      <xdr:row>36</xdr:row>
      <xdr:rowOff>9525</xdr:rowOff>
    </xdr:to>
    <xdr:pic>
      <xdr:nvPicPr>
        <xdr:cNvPr id="23560" name="Picture 8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352800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114300</xdr:colOff>
      <xdr:row>36</xdr:row>
      <xdr:rowOff>9525</xdr:rowOff>
    </xdr:to>
    <xdr:pic>
      <xdr:nvPicPr>
        <xdr:cNvPr id="23561" name="Picture 9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105275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114300</xdr:colOff>
      <xdr:row>36</xdr:row>
      <xdr:rowOff>9525</xdr:rowOff>
    </xdr:to>
    <xdr:pic>
      <xdr:nvPicPr>
        <xdr:cNvPr id="23562" name="Picture 1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24425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114300</xdr:colOff>
      <xdr:row>36</xdr:row>
      <xdr:rowOff>9525</xdr:rowOff>
    </xdr:to>
    <xdr:pic>
      <xdr:nvPicPr>
        <xdr:cNvPr id="23563" name="Picture 11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753100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114300</xdr:colOff>
      <xdr:row>36</xdr:row>
      <xdr:rowOff>9525</xdr:rowOff>
    </xdr:to>
    <xdr:pic>
      <xdr:nvPicPr>
        <xdr:cNvPr id="23564" name="Picture 12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362700" y="620077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114300</xdr:colOff>
      <xdr:row>38</xdr:row>
      <xdr:rowOff>19050</xdr:rowOff>
    </xdr:to>
    <xdr:pic>
      <xdr:nvPicPr>
        <xdr:cNvPr id="23565" name="Picture 1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6362700"/>
          <a:ext cx="114300" cy="29527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504825</xdr:colOff>
      <xdr:row>37</xdr:row>
      <xdr:rowOff>133350</xdr:rowOff>
    </xdr:from>
    <xdr:to>
      <xdr:col>3</xdr:col>
      <xdr:colOff>533400</xdr:colOff>
      <xdr:row>37</xdr:row>
      <xdr:rowOff>228600</xdr:rowOff>
    </xdr:to>
    <xdr:pic>
      <xdr:nvPicPr>
        <xdr:cNvPr id="23566" name="Picture 14" descr="3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105150" y="6496050"/>
          <a:ext cx="28575" cy="9525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523875</xdr:colOff>
      <xdr:row>38</xdr:row>
      <xdr:rowOff>28575</xdr:rowOff>
    </xdr:from>
    <xdr:to>
      <xdr:col>3</xdr:col>
      <xdr:colOff>552450</xdr:colOff>
      <xdr:row>38</xdr:row>
      <xdr:rowOff>123825</xdr:rowOff>
    </xdr:to>
    <xdr:pic>
      <xdr:nvPicPr>
        <xdr:cNvPr id="23567" name="Picture 15" descr="3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3124200" y="6667500"/>
          <a:ext cx="28575" cy="952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0</xdr:col>
      <xdr:colOff>114300</xdr:colOff>
      <xdr:row>41</xdr:row>
      <xdr:rowOff>19050</xdr:rowOff>
    </xdr:to>
    <xdr:pic>
      <xdr:nvPicPr>
        <xdr:cNvPr id="23568" name="Picture 16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6962775"/>
          <a:ext cx="114300" cy="2952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41</xdr:row>
      <xdr:rowOff>152400</xdr:rowOff>
    </xdr:from>
    <xdr:to>
      <xdr:col>0</xdr:col>
      <xdr:colOff>114300</xdr:colOff>
      <xdr:row>45</xdr:row>
      <xdr:rowOff>19050</xdr:rowOff>
    </xdr:to>
    <xdr:pic>
      <xdr:nvPicPr>
        <xdr:cNvPr id="23569" name="Picture 1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7391400"/>
          <a:ext cx="114300" cy="10477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114300</xdr:colOff>
      <xdr:row>45</xdr:row>
      <xdr:rowOff>9525</xdr:rowOff>
    </xdr:to>
    <xdr:pic>
      <xdr:nvPicPr>
        <xdr:cNvPr id="23570" name="Picture 18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7477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114300</xdr:colOff>
      <xdr:row>46</xdr:row>
      <xdr:rowOff>9525</xdr:rowOff>
    </xdr:to>
    <xdr:pic>
      <xdr:nvPicPr>
        <xdr:cNvPr id="23571" name="Picture 19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7658100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9525</xdr:colOff>
      <xdr:row>43</xdr:row>
      <xdr:rowOff>57150</xdr:rowOff>
    </xdr:to>
    <xdr:pic>
      <xdr:nvPicPr>
        <xdr:cNvPr id="23572" name="Picture 2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105275" y="74009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0</xdr:colOff>
      <xdr:row>43</xdr:row>
      <xdr:rowOff>0</xdr:rowOff>
    </xdr:from>
    <xdr:to>
      <xdr:col>6</xdr:col>
      <xdr:colOff>9525</xdr:colOff>
      <xdr:row>43</xdr:row>
      <xdr:rowOff>57150</xdr:rowOff>
    </xdr:to>
    <xdr:pic>
      <xdr:nvPicPr>
        <xdr:cNvPr id="23573" name="Picture 21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24425" y="74009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9525</xdr:colOff>
      <xdr:row>43</xdr:row>
      <xdr:rowOff>57150</xdr:rowOff>
    </xdr:to>
    <xdr:pic>
      <xdr:nvPicPr>
        <xdr:cNvPr id="23574" name="Picture 22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753100" y="74009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43</xdr:row>
      <xdr:rowOff>0</xdr:rowOff>
    </xdr:from>
    <xdr:to>
      <xdr:col>8</xdr:col>
      <xdr:colOff>9525</xdr:colOff>
      <xdr:row>43</xdr:row>
      <xdr:rowOff>57150</xdr:rowOff>
    </xdr:to>
    <xdr:pic>
      <xdr:nvPicPr>
        <xdr:cNvPr id="23575" name="Picture 2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362700" y="74009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0</xdr:colOff>
      <xdr:row>43</xdr:row>
      <xdr:rowOff>0</xdr:rowOff>
    </xdr:from>
    <xdr:to>
      <xdr:col>9</xdr:col>
      <xdr:colOff>9525</xdr:colOff>
      <xdr:row>43</xdr:row>
      <xdr:rowOff>57150</xdr:rowOff>
    </xdr:to>
    <xdr:pic>
      <xdr:nvPicPr>
        <xdr:cNvPr id="23576" name="Picture 24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972300" y="74009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114300</xdr:colOff>
      <xdr:row>49</xdr:row>
      <xdr:rowOff>238125</xdr:rowOff>
    </xdr:to>
    <xdr:pic>
      <xdr:nvPicPr>
        <xdr:cNvPr id="23577" name="Picture 25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7981950"/>
          <a:ext cx="114300" cy="4000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114300</xdr:colOff>
      <xdr:row>52</xdr:row>
      <xdr:rowOff>9525</xdr:rowOff>
    </xdr:to>
    <xdr:pic>
      <xdr:nvPicPr>
        <xdr:cNvPr id="23578" name="Picture 26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83915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114300</xdr:colOff>
      <xdr:row>52</xdr:row>
      <xdr:rowOff>9525</xdr:rowOff>
    </xdr:to>
    <xdr:pic>
      <xdr:nvPicPr>
        <xdr:cNvPr id="23579" name="Picture 2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247650" y="83915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447675</xdr:colOff>
      <xdr:row>52</xdr:row>
      <xdr:rowOff>28575</xdr:rowOff>
    </xdr:from>
    <xdr:to>
      <xdr:col>3</xdr:col>
      <xdr:colOff>504825</xdr:colOff>
      <xdr:row>52</xdr:row>
      <xdr:rowOff>114300</xdr:rowOff>
    </xdr:to>
    <xdr:pic>
      <xdr:nvPicPr>
        <xdr:cNvPr id="23580" name="Picture 28" descr="1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3048000" y="8420100"/>
          <a:ext cx="57150" cy="857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590550</xdr:colOff>
      <xdr:row>53</xdr:row>
      <xdr:rowOff>114300</xdr:rowOff>
    </xdr:from>
    <xdr:to>
      <xdr:col>5</xdr:col>
      <xdr:colOff>666750</xdr:colOff>
      <xdr:row>53</xdr:row>
      <xdr:rowOff>219075</xdr:rowOff>
    </xdr:to>
    <xdr:pic>
      <xdr:nvPicPr>
        <xdr:cNvPr id="23581" name="Picture 29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4695825" y="8667750"/>
          <a:ext cx="76200" cy="10477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533400</xdr:colOff>
      <xdr:row>52</xdr:row>
      <xdr:rowOff>9525</xdr:rowOff>
    </xdr:from>
    <xdr:to>
      <xdr:col>5</xdr:col>
      <xdr:colOff>628650</xdr:colOff>
      <xdr:row>52</xdr:row>
      <xdr:rowOff>114300</xdr:rowOff>
    </xdr:to>
    <xdr:pic>
      <xdr:nvPicPr>
        <xdr:cNvPr id="23582" name="Picture 30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4638675" y="8401050"/>
          <a:ext cx="95250" cy="10477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9525</xdr:colOff>
      <xdr:row>52</xdr:row>
      <xdr:rowOff>57150</xdr:rowOff>
    </xdr:to>
    <xdr:pic>
      <xdr:nvPicPr>
        <xdr:cNvPr id="23583" name="Picture 31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105275" y="83915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581025</xdr:colOff>
      <xdr:row>53</xdr:row>
      <xdr:rowOff>76200</xdr:rowOff>
    </xdr:from>
    <xdr:to>
      <xdr:col>6</xdr:col>
      <xdr:colOff>657225</xdr:colOff>
      <xdr:row>53</xdr:row>
      <xdr:rowOff>171450</xdr:rowOff>
    </xdr:to>
    <xdr:pic>
      <xdr:nvPicPr>
        <xdr:cNvPr id="23584" name="Picture 32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5505450" y="8629650"/>
          <a:ext cx="76200" cy="952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552450</xdr:colOff>
      <xdr:row>52</xdr:row>
      <xdr:rowOff>0</xdr:rowOff>
    </xdr:from>
    <xdr:to>
      <xdr:col>6</xdr:col>
      <xdr:colOff>628650</xdr:colOff>
      <xdr:row>52</xdr:row>
      <xdr:rowOff>85725</xdr:rowOff>
    </xdr:to>
    <xdr:pic>
      <xdr:nvPicPr>
        <xdr:cNvPr id="23585" name="Picture 33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5476875" y="8391525"/>
          <a:ext cx="76200" cy="857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9525</xdr:colOff>
      <xdr:row>52</xdr:row>
      <xdr:rowOff>57150</xdr:rowOff>
    </xdr:to>
    <xdr:pic>
      <xdr:nvPicPr>
        <xdr:cNvPr id="23586" name="Picture 34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24425" y="83915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428625</xdr:colOff>
      <xdr:row>52</xdr:row>
      <xdr:rowOff>0</xdr:rowOff>
    </xdr:from>
    <xdr:to>
      <xdr:col>7</xdr:col>
      <xdr:colOff>504825</xdr:colOff>
      <xdr:row>52</xdr:row>
      <xdr:rowOff>85725</xdr:rowOff>
    </xdr:to>
    <xdr:pic>
      <xdr:nvPicPr>
        <xdr:cNvPr id="23587" name="Picture 35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6181725" y="8391525"/>
          <a:ext cx="76200" cy="857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466725</xdr:colOff>
      <xdr:row>53</xdr:row>
      <xdr:rowOff>85725</xdr:rowOff>
    </xdr:from>
    <xdr:to>
      <xdr:col>7</xdr:col>
      <xdr:colOff>542925</xdr:colOff>
      <xdr:row>53</xdr:row>
      <xdr:rowOff>180975</xdr:rowOff>
    </xdr:to>
    <xdr:pic>
      <xdr:nvPicPr>
        <xdr:cNvPr id="23588" name="Picture 36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6219825" y="8639175"/>
          <a:ext cx="76200" cy="9525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9525</xdr:colOff>
      <xdr:row>52</xdr:row>
      <xdr:rowOff>57150</xdr:rowOff>
    </xdr:to>
    <xdr:pic>
      <xdr:nvPicPr>
        <xdr:cNvPr id="23589" name="Picture 3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753100" y="83915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457200</xdr:colOff>
      <xdr:row>53</xdr:row>
      <xdr:rowOff>95250</xdr:rowOff>
    </xdr:from>
    <xdr:to>
      <xdr:col>8</xdr:col>
      <xdr:colOff>533400</xdr:colOff>
      <xdr:row>53</xdr:row>
      <xdr:rowOff>200025</xdr:rowOff>
    </xdr:to>
    <xdr:pic>
      <xdr:nvPicPr>
        <xdr:cNvPr id="23590" name="Picture 38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6819900" y="8648700"/>
          <a:ext cx="76200" cy="10477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438150</xdr:colOff>
      <xdr:row>52</xdr:row>
      <xdr:rowOff>0</xdr:rowOff>
    </xdr:from>
    <xdr:to>
      <xdr:col>8</xdr:col>
      <xdr:colOff>514350</xdr:colOff>
      <xdr:row>52</xdr:row>
      <xdr:rowOff>104775</xdr:rowOff>
    </xdr:to>
    <xdr:pic>
      <xdr:nvPicPr>
        <xdr:cNvPr id="23591" name="Picture 39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6800850" y="8391525"/>
          <a:ext cx="76200" cy="10477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9525</xdr:colOff>
      <xdr:row>52</xdr:row>
      <xdr:rowOff>57150</xdr:rowOff>
    </xdr:to>
    <xdr:pic>
      <xdr:nvPicPr>
        <xdr:cNvPr id="23592" name="Picture 4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362700" y="83915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409575</xdr:colOff>
      <xdr:row>52</xdr:row>
      <xdr:rowOff>0</xdr:rowOff>
    </xdr:from>
    <xdr:to>
      <xdr:col>9</xdr:col>
      <xdr:colOff>485775</xdr:colOff>
      <xdr:row>52</xdr:row>
      <xdr:rowOff>95250</xdr:rowOff>
    </xdr:to>
    <xdr:pic>
      <xdr:nvPicPr>
        <xdr:cNvPr id="23593" name="Picture 41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7381875" y="8391525"/>
          <a:ext cx="76200" cy="95250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457200</xdr:colOff>
      <xdr:row>53</xdr:row>
      <xdr:rowOff>114300</xdr:rowOff>
    </xdr:from>
    <xdr:to>
      <xdr:col>9</xdr:col>
      <xdr:colOff>533400</xdr:colOff>
      <xdr:row>53</xdr:row>
      <xdr:rowOff>219075</xdr:rowOff>
    </xdr:to>
    <xdr:pic>
      <xdr:nvPicPr>
        <xdr:cNvPr id="23594" name="Picture 42" descr="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7429500" y="8667750"/>
          <a:ext cx="76200" cy="10477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9525</xdr:colOff>
      <xdr:row>52</xdr:row>
      <xdr:rowOff>57150</xdr:rowOff>
    </xdr:to>
    <xdr:pic>
      <xdr:nvPicPr>
        <xdr:cNvPr id="23595" name="Picture 4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972300" y="8391525"/>
          <a:ext cx="9525" cy="571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114300</xdr:colOff>
      <xdr:row>53</xdr:row>
      <xdr:rowOff>171450</xdr:rowOff>
    </xdr:to>
    <xdr:pic>
      <xdr:nvPicPr>
        <xdr:cNvPr id="23596" name="Picture 44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8553450"/>
          <a:ext cx="114300" cy="17145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523875</xdr:colOff>
      <xdr:row>54</xdr:row>
      <xdr:rowOff>57150</xdr:rowOff>
    </xdr:from>
    <xdr:to>
      <xdr:col>5</xdr:col>
      <xdr:colOff>657225</xdr:colOff>
      <xdr:row>54</xdr:row>
      <xdr:rowOff>171450</xdr:rowOff>
    </xdr:to>
    <xdr:pic>
      <xdr:nvPicPr>
        <xdr:cNvPr id="23597" name="Picture 45" descr="1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4629150" y="8886825"/>
          <a:ext cx="133350" cy="11430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533400</xdr:colOff>
      <xdr:row>54</xdr:row>
      <xdr:rowOff>38100</xdr:rowOff>
    </xdr:from>
    <xdr:to>
      <xdr:col>6</xdr:col>
      <xdr:colOff>638175</xdr:colOff>
      <xdr:row>54</xdr:row>
      <xdr:rowOff>152400</xdr:rowOff>
    </xdr:to>
    <xdr:pic>
      <xdr:nvPicPr>
        <xdr:cNvPr id="23598" name="Picture 46" descr="1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5457825" y="8867775"/>
          <a:ext cx="104775" cy="11430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409575</xdr:colOff>
      <xdr:row>54</xdr:row>
      <xdr:rowOff>38100</xdr:rowOff>
    </xdr:from>
    <xdr:to>
      <xdr:col>7</xdr:col>
      <xdr:colOff>523875</xdr:colOff>
      <xdr:row>54</xdr:row>
      <xdr:rowOff>152400</xdr:rowOff>
    </xdr:to>
    <xdr:pic>
      <xdr:nvPicPr>
        <xdr:cNvPr id="23599" name="Picture 47" descr="1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6162675" y="8867775"/>
          <a:ext cx="114300" cy="1143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409575</xdr:colOff>
      <xdr:row>54</xdr:row>
      <xdr:rowOff>19050</xdr:rowOff>
    </xdr:from>
    <xdr:to>
      <xdr:col>8</xdr:col>
      <xdr:colOff>514350</xdr:colOff>
      <xdr:row>54</xdr:row>
      <xdr:rowOff>123825</xdr:rowOff>
    </xdr:to>
    <xdr:pic>
      <xdr:nvPicPr>
        <xdr:cNvPr id="23600" name="Picture 48" descr="1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6772275" y="8848725"/>
          <a:ext cx="104775" cy="10477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400050</xdr:colOff>
      <xdr:row>54</xdr:row>
      <xdr:rowOff>28575</xdr:rowOff>
    </xdr:from>
    <xdr:to>
      <xdr:col>9</xdr:col>
      <xdr:colOff>495300</xdr:colOff>
      <xdr:row>54</xdr:row>
      <xdr:rowOff>123825</xdr:rowOff>
    </xdr:to>
    <xdr:pic>
      <xdr:nvPicPr>
        <xdr:cNvPr id="23601" name="Picture 49" descr="12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7372350" y="885825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54</xdr:row>
      <xdr:rowOff>19050</xdr:rowOff>
    </xdr:from>
    <xdr:to>
      <xdr:col>0</xdr:col>
      <xdr:colOff>114300</xdr:colOff>
      <xdr:row>55</xdr:row>
      <xdr:rowOff>47625</xdr:rowOff>
    </xdr:to>
    <xdr:pic>
      <xdr:nvPicPr>
        <xdr:cNvPr id="23602" name="Picture 5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8848725"/>
          <a:ext cx="114300" cy="3048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55</xdr:row>
      <xdr:rowOff>171450</xdr:rowOff>
    </xdr:from>
    <xdr:to>
      <xdr:col>0</xdr:col>
      <xdr:colOff>114300</xdr:colOff>
      <xdr:row>55</xdr:row>
      <xdr:rowOff>333375</xdr:rowOff>
    </xdr:to>
    <xdr:pic>
      <xdr:nvPicPr>
        <xdr:cNvPr id="23603" name="Picture 51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9277350"/>
          <a:ext cx="114300" cy="1619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55</xdr:row>
      <xdr:rowOff>171450</xdr:rowOff>
    </xdr:from>
    <xdr:to>
      <xdr:col>3</xdr:col>
      <xdr:colOff>38100</xdr:colOff>
      <xdr:row>55</xdr:row>
      <xdr:rowOff>266700</xdr:rowOff>
    </xdr:to>
    <xdr:pic>
      <xdr:nvPicPr>
        <xdr:cNvPr id="23604" name="Picture 52" descr="2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2600325" y="9277350"/>
          <a:ext cx="38100" cy="952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56</xdr:row>
      <xdr:rowOff>190500</xdr:rowOff>
    </xdr:from>
    <xdr:to>
      <xdr:col>0</xdr:col>
      <xdr:colOff>114300</xdr:colOff>
      <xdr:row>57</xdr:row>
      <xdr:rowOff>180975</xdr:rowOff>
    </xdr:to>
    <xdr:pic>
      <xdr:nvPicPr>
        <xdr:cNvPr id="23605" name="Picture 5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9810750"/>
          <a:ext cx="114300" cy="18097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56</xdr:row>
      <xdr:rowOff>190500</xdr:rowOff>
    </xdr:from>
    <xdr:to>
      <xdr:col>3</xdr:col>
      <xdr:colOff>38100</xdr:colOff>
      <xdr:row>57</xdr:row>
      <xdr:rowOff>104775</xdr:rowOff>
    </xdr:to>
    <xdr:pic>
      <xdr:nvPicPr>
        <xdr:cNvPr id="23606" name="Picture 54" descr="2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2600325" y="9810750"/>
          <a:ext cx="38100" cy="1047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57</xdr:row>
      <xdr:rowOff>209550</xdr:rowOff>
    </xdr:from>
    <xdr:to>
      <xdr:col>0</xdr:col>
      <xdr:colOff>114300</xdr:colOff>
      <xdr:row>58</xdr:row>
      <xdr:rowOff>361950</xdr:rowOff>
    </xdr:to>
    <xdr:pic>
      <xdr:nvPicPr>
        <xdr:cNvPr id="23607" name="Picture 55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0020300"/>
          <a:ext cx="114300" cy="4286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60</xdr:row>
      <xdr:rowOff>0</xdr:rowOff>
    </xdr:from>
    <xdr:to>
      <xdr:col>3</xdr:col>
      <xdr:colOff>38100</xdr:colOff>
      <xdr:row>60</xdr:row>
      <xdr:rowOff>104775</xdr:rowOff>
    </xdr:to>
    <xdr:pic>
      <xdr:nvPicPr>
        <xdr:cNvPr id="23608" name="Picture 56" descr="2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2600325" y="10696575"/>
          <a:ext cx="38100" cy="1047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114300</xdr:colOff>
      <xdr:row>61</xdr:row>
      <xdr:rowOff>171450</xdr:rowOff>
    </xdr:to>
    <xdr:pic>
      <xdr:nvPicPr>
        <xdr:cNvPr id="23609" name="Picture 5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0858500"/>
          <a:ext cx="114300" cy="1714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0</xdr:col>
      <xdr:colOff>114300</xdr:colOff>
      <xdr:row>64</xdr:row>
      <xdr:rowOff>123825</xdr:rowOff>
    </xdr:to>
    <xdr:pic>
      <xdr:nvPicPr>
        <xdr:cNvPr id="23610" name="Picture 58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1153775"/>
          <a:ext cx="114300" cy="4286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62</xdr:row>
      <xdr:rowOff>19050</xdr:rowOff>
    </xdr:from>
    <xdr:to>
      <xdr:col>3</xdr:col>
      <xdr:colOff>38100</xdr:colOff>
      <xdr:row>62</xdr:row>
      <xdr:rowOff>114300</xdr:rowOff>
    </xdr:to>
    <xdr:pic>
      <xdr:nvPicPr>
        <xdr:cNvPr id="23611" name="Picture 59" descr="2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2600325" y="11153775"/>
          <a:ext cx="38100" cy="952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63</xdr:row>
      <xdr:rowOff>295275</xdr:rowOff>
    </xdr:from>
    <xdr:to>
      <xdr:col>0</xdr:col>
      <xdr:colOff>114300</xdr:colOff>
      <xdr:row>66</xdr:row>
      <xdr:rowOff>104775</xdr:rowOff>
    </xdr:to>
    <xdr:pic>
      <xdr:nvPicPr>
        <xdr:cNvPr id="23612" name="Picture 6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1458575"/>
          <a:ext cx="114300" cy="42862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0</xdr:colOff>
      <xdr:row>63</xdr:row>
      <xdr:rowOff>295275</xdr:rowOff>
    </xdr:from>
    <xdr:to>
      <xdr:col>3</xdr:col>
      <xdr:colOff>38100</xdr:colOff>
      <xdr:row>64</xdr:row>
      <xdr:rowOff>104775</xdr:rowOff>
    </xdr:to>
    <xdr:pic>
      <xdr:nvPicPr>
        <xdr:cNvPr id="23613" name="Picture 61" descr="22"/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2600325" y="11458575"/>
          <a:ext cx="38100" cy="1047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65</xdr:row>
      <xdr:rowOff>28575</xdr:rowOff>
    </xdr:from>
    <xdr:to>
      <xdr:col>0</xdr:col>
      <xdr:colOff>114300</xdr:colOff>
      <xdr:row>67</xdr:row>
      <xdr:rowOff>133350</xdr:rowOff>
    </xdr:to>
    <xdr:pic>
      <xdr:nvPicPr>
        <xdr:cNvPr id="23614" name="Picture 62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1649075"/>
          <a:ext cx="114300" cy="4286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114300</xdr:colOff>
      <xdr:row>69</xdr:row>
      <xdr:rowOff>9525</xdr:rowOff>
    </xdr:to>
    <xdr:pic>
      <xdr:nvPicPr>
        <xdr:cNvPr id="23615" name="Picture 6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106275"/>
          <a:ext cx="114300" cy="1714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70</xdr:row>
      <xdr:rowOff>104775</xdr:rowOff>
    </xdr:from>
    <xdr:to>
      <xdr:col>0</xdr:col>
      <xdr:colOff>114300</xdr:colOff>
      <xdr:row>71</xdr:row>
      <xdr:rowOff>104775</xdr:rowOff>
    </xdr:to>
    <xdr:pic>
      <xdr:nvPicPr>
        <xdr:cNvPr id="23616" name="Picture 64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534900"/>
          <a:ext cx="114300" cy="1619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0</xdr:col>
      <xdr:colOff>114300</xdr:colOff>
      <xdr:row>71</xdr:row>
      <xdr:rowOff>0</xdr:rowOff>
    </xdr:to>
    <xdr:pic>
      <xdr:nvPicPr>
        <xdr:cNvPr id="23617" name="Picture 65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430125"/>
          <a:ext cx="114300" cy="161925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70</xdr:row>
      <xdr:rowOff>0</xdr:rowOff>
    </xdr:from>
    <xdr:to>
      <xdr:col>2</xdr:col>
      <xdr:colOff>114300</xdr:colOff>
      <xdr:row>70</xdr:row>
      <xdr:rowOff>9525</xdr:rowOff>
    </xdr:to>
    <xdr:pic>
      <xdr:nvPicPr>
        <xdr:cNvPr id="23618" name="Picture 66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752600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0</xdr:colOff>
      <xdr:row>70</xdr:row>
      <xdr:rowOff>0</xdr:rowOff>
    </xdr:from>
    <xdr:to>
      <xdr:col>4</xdr:col>
      <xdr:colOff>114300</xdr:colOff>
      <xdr:row>70</xdr:row>
      <xdr:rowOff>9525</xdr:rowOff>
    </xdr:to>
    <xdr:pic>
      <xdr:nvPicPr>
        <xdr:cNvPr id="23619" name="Picture 67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3352800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70</xdr:row>
      <xdr:rowOff>0</xdr:rowOff>
    </xdr:from>
    <xdr:to>
      <xdr:col>5</xdr:col>
      <xdr:colOff>114300</xdr:colOff>
      <xdr:row>70</xdr:row>
      <xdr:rowOff>9525</xdr:rowOff>
    </xdr:to>
    <xdr:pic>
      <xdr:nvPicPr>
        <xdr:cNvPr id="23620" name="Picture 68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105275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0</xdr:colOff>
      <xdr:row>70</xdr:row>
      <xdr:rowOff>0</xdr:rowOff>
    </xdr:from>
    <xdr:to>
      <xdr:col>6</xdr:col>
      <xdr:colOff>114300</xdr:colOff>
      <xdr:row>70</xdr:row>
      <xdr:rowOff>9525</xdr:rowOff>
    </xdr:to>
    <xdr:pic>
      <xdr:nvPicPr>
        <xdr:cNvPr id="23621" name="Picture 69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924425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114300</xdr:colOff>
      <xdr:row>70</xdr:row>
      <xdr:rowOff>9525</xdr:rowOff>
    </xdr:to>
    <xdr:pic>
      <xdr:nvPicPr>
        <xdr:cNvPr id="23622" name="Picture 70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753100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0</xdr:colOff>
      <xdr:row>70</xdr:row>
      <xdr:rowOff>0</xdr:rowOff>
    </xdr:from>
    <xdr:to>
      <xdr:col>8</xdr:col>
      <xdr:colOff>114300</xdr:colOff>
      <xdr:row>70</xdr:row>
      <xdr:rowOff>9525</xdr:rowOff>
    </xdr:to>
    <xdr:pic>
      <xdr:nvPicPr>
        <xdr:cNvPr id="23623" name="Picture 71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362700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0</xdr:colOff>
      <xdr:row>70</xdr:row>
      <xdr:rowOff>0</xdr:rowOff>
    </xdr:from>
    <xdr:to>
      <xdr:col>9</xdr:col>
      <xdr:colOff>114300</xdr:colOff>
      <xdr:row>70</xdr:row>
      <xdr:rowOff>9525</xdr:rowOff>
    </xdr:to>
    <xdr:pic>
      <xdr:nvPicPr>
        <xdr:cNvPr id="23624" name="Picture 72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6972300" y="12430125"/>
          <a:ext cx="114300" cy="952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71</xdr:row>
      <xdr:rowOff>19050</xdr:rowOff>
    </xdr:from>
    <xdr:to>
      <xdr:col>0</xdr:col>
      <xdr:colOff>9525</xdr:colOff>
      <xdr:row>73</xdr:row>
      <xdr:rowOff>123825</xdr:rowOff>
    </xdr:to>
    <xdr:pic>
      <xdr:nvPicPr>
        <xdr:cNvPr id="23625" name="Picture 73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611100"/>
          <a:ext cx="9525" cy="25717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72</xdr:row>
      <xdr:rowOff>133350</xdr:rowOff>
    </xdr:from>
    <xdr:to>
      <xdr:col>0</xdr:col>
      <xdr:colOff>9525</xdr:colOff>
      <xdr:row>74</xdr:row>
      <xdr:rowOff>104775</xdr:rowOff>
    </xdr:to>
    <xdr:pic>
      <xdr:nvPicPr>
        <xdr:cNvPr id="23626" name="Picture 74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744450"/>
          <a:ext cx="9525" cy="2667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73</xdr:row>
      <xdr:rowOff>247650</xdr:rowOff>
    </xdr:from>
    <xdr:to>
      <xdr:col>0</xdr:col>
      <xdr:colOff>9525</xdr:colOff>
      <xdr:row>75</xdr:row>
      <xdr:rowOff>114300</xdr:rowOff>
    </xdr:to>
    <xdr:pic>
      <xdr:nvPicPr>
        <xdr:cNvPr id="23627" name="Picture 75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12906375"/>
          <a:ext cx="9525" cy="276225"/>
        </a:xfrm>
        <a:prstGeom prst="rect">
          <a:avLst/>
        </a:prstGeom>
        <a:noFill/>
      </xdr:spPr>
    </xdr:pic>
    <xdr:clientData/>
  </xdr:twoCellAnchor>
  <xdr:twoCellAnchor editAs="oneCell">
    <xdr:from>
      <xdr:col>10</xdr:col>
      <xdr:colOff>0</xdr:colOff>
      <xdr:row>75</xdr:row>
      <xdr:rowOff>361950</xdr:rowOff>
    </xdr:from>
    <xdr:to>
      <xdr:col>10</xdr:col>
      <xdr:colOff>9525</xdr:colOff>
      <xdr:row>77</xdr:row>
      <xdr:rowOff>104775</xdr:rowOff>
    </xdr:to>
    <xdr:pic>
      <xdr:nvPicPr>
        <xdr:cNvPr id="23628" name="Picture 76" descr="trans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7581900" y="13287375"/>
          <a:ext cx="9525" cy="2667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81</xdr:row>
      <xdr:rowOff>0</xdr:rowOff>
    </xdr:from>
    <xdr:to>
      <xdr:col>4</xdr:col>
      <xdr:colOff>323850</xdr:colOff>
      <xdr:row>93</xdr:row>
      <xdr:rowOff>152400</xdr:rowOff>
    </xdr:to>
    <xdr:pic>
      <xdr:nvPicPr>
        <xdr:cNvPr id="23629" name="Picture 77" descr="SINDUST1"/>
        <xdr:cNvPicPr>
          <a:picLocks noChangeAspect="1" noChangeArrowheads="1"/>
        </xdr:cNvPicPr>
      </xdr:nvPicPr>
      <xdr:blipFill>
        <a:blip xmlns:r="http://schemas.openxmlformats.org/officeDocument/2006/relationships" r:embed="rId8"/>
        <a:srcRect/>
        <a:stretch>
          <a:fillRect/>
        </a:stretch>
      </xdr:blipFill>
      <xdr:spPr bwMode="auto">
        <a:xfrm>
          <a:off x="247650" y="14097000"/>
          <a:ext cx="3429000" cy="209550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1143000</xdr:colOff>
      <xdr:row>104</xdr:row>
      <xdr:rowOff>47625</xdr:rowOff>
    </xdr:to>
    <xdr:pic>
      <xdr:nvPicPr>
        <xdr:cNvPr id="23630" name="Picture 78" descr="new_Teknisk-02"/>
        <xdr:cNvPicPr>
          <a:picLocks noChangeAspect="1"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>
          <a:off x="247650" y="16363950"/>
          <a:ext cx="1143000" cy="150495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1419225</xdr:colOff>
      <xdr:row>94</xdr:row>
      <xdr:rowOff>142875</xdr:rowOff>
    </xdr:from>
    <xdr:to>
      <xdr:col>5</xdr:col>
      <xdr:colOff>790575</xdr:colOff>
      <xdr:row>107</xdr:row>
      <xdr:rowOff>152400</xdr:rowOff>
    </xdr:to>
    <xdr:pic>
      <xdr:nvPicPr>
        <xdr:cNvPr id="23631" name="Picture 79" descr="S_cyl"/>
        <xdr:cNvPicPr>
          <a:picLocks noChangeAspect="1" noChangeArrowheads="1"/>
        </xdr:cNvPicPr>
      </xdr:nvPicPr>
      <xdr:blipFill>
        <a:blip xmlns:r="http://schemas.openxmlformats.org/officeDocument/2006/relationships" r:embed="rId10"/>
        <a:srcRect/>
        <a:stretch>
          <a:fillRect/>
        </a:stretch>
      </xdr:blipFill>
      <xdr:spPr bwMode="auto">
        <a:xfrm>
          <a:off x="1666875" y="16344900"/>
          <a:ext cx="3228975" cy="2114550"/>
        </a:xfrm>
        <a:prstGeom prst="rect">
          <a:avLst/>
        </a:prstGeom>
        <a:noFill/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2</xdr:col>
          <xdr:colOff>180975</xdr:colOff>
          <xdr:row>4</xdr:row>
          <xdr:rowOff>19050</xdr:rowOff>
        </xdr:to>
        <xdr:sp macro="" textlink="">
          <xdr:nvSpPr>
            <xdr:cNvPr id="22529" name="Object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3</xdr:col>
          <xdr:colOff>161925</xdr:colOff>
          <xdr:row>4</xdr:row>
          <xdr:rowOff>190500</xdr:rowOff>
        </xdr:to>
        <xdr:sp macro="" textlink="">
          <xdr:nvSpPr>
            <xdr:cNvPr id="22530" name="Object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4</xdr:col>
          <xdr:colOff>190500</xdr:colOff>
          <xdr:row>5</xdr:row>
          <xdr:rowOff>190500</xdr:rowOff>
        </xdr:to>
        <xdr:sp macro="" textlink="">
          <xdr:nvSpPr>
            <xdr:cNvPr id="22531" name="Object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876300</xdr:colOff>
          <xdr:row>251</xdr:row>
          <xdr:rowOff>828675</xdr:rowOff>
        </xdr:from>
        <xdr:to>
          <xdr:col>4</xdr:col>
          <xdr:colOff>504825</xdr:colOff>
          <xdr:row>253</xdr:row>
          <xdr:rowOff>228600</xdr:rowOff>
        </xdr:to>
        <xdr:sp macro="" textlink="">
          <xdr:nvSpPr>
            <xdr:cNvPr id="22532" name="Object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2</xdr:row>
      <xdr:rowOff>19050</xdr:rowOff>
    </xdr:from>
    <xdr:to>
      <xdr:col>11</xdr:col>
      <xdr:colOff>352425</xdr:colOff>
      <xdr:row>4</xdr:row>
      <xdr:rowOff>66675</xdr:rowOff>
    </xdr:to>
    <xdr:sp macro="" textlink="">
      <xdr:nvSpPr>
        <xdr:cNvPr id="17413" name="WordArt 5"/>
        <xdr:cNvSpPr>
          <a:spLocks noChangeArrowheads="1" noChangeShapeType="1" noTextEdit="1"/>
        </xdr:cNvSpPr>
      </xdr:nvSpPr>
      <xdr:spPr bwMode="auto">
        <a:xfrm>
          <a:off x="4886325" y="342900"/>
          <a:ext cx="1924050" cy="5334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b="1" kern="10" spc="720">
              <a:ln w="9525">
                <a:noFill/>
                <a:round/>
                <a:headEnd/>
                <a:tailEnd/>
              </a:ln>
              <a:gradFill rotWithShape="0">
                <a:gsLst>
                  <a:gs pos="0">
                    <a:srgbClr val="AAAAAA"/>
                  </a:gs>
                  <a:gs pos="100000">
                    <a:srgbClr val="FFFFFF"/>
                  </a:gs>
                </a:gsLst>
                <a:lin ang="5400000" scaled="1"/>
              </a:gradFill>
              <a:effectLst>
                <a:outerShdw dist="45791" dir="3378596" algn="ctr" rotWithShape="0">
                  <a:srgbClr val="4D4D4D"/>
                </a:outerShdw>
              </a:effectLst>
              <a:latin typeface="Arial"/>
              <a:cs typeface="Arial"/>
            </a:rPr>
            <a:t>"Pyrox"</a:t>
          </a:r>
          <a:endParaRPr lang="ru-RU" sz="3600" b="1" kern="10" spc="720">
            <a:ln w="9525">
              <a:noFill/>
              <a:round/>
              <a:headEnd/>
              <a:tailEnd/>
            </a:ln>
            <a:gradFill rotWithShape="0">
              <a:gsLst>
                <a:gs pos="0">
                  <a:srgbClr val="AAAAAA"/>
                </a:gs>
                <a:gs pos="100000">
                  <a:srgbClr val="FFFFFF"/>
                </a:gs>
              </a:gsLst>
              <a:lin ang="5400000" scaled="1"/>
            </a:gradFill>
            <a:effectLst>
              <a:outerShdw dist="45791" dir="3378596" algn="ctr" rotWithShape="0">
                <a:srgbClr val="4D4D4D"/>
              </a:outerShdw>
            </a:effectLst>
            <a:latin typeface="Arial"/>
            <a:cs typeface="Arial"/>
          </a:endParaRPr>
        </a:p>
      </xdr:txBody>
    </xdr:sp>
    <xdr:clientData/>
  </xdr:twoCellAnchor>
  <xdr:twoCellAnchor>
    <xdr:from>
      <xdr:col>8</xdr:col>
      <xdr:colOff>314325</xdr:colOff>
      <xdr:row>4</xdr:row>
      <xdr:rowOff>0</xdr:rowOff>
    </xdr:from>
    <xdr:to>
      <xdr:col>11</xdr:col>
      <xdr:colOff>257175</xdr:colOff>
      <xdr:row>7</xdr:row>
      <xdr:rowOff>57150</xdr:rowOff>
    </xdr:to>
    <xdr:sp macro="" textlink="">
      <xdr:nvSpPr>
        <xdr:cNvPr id="17414" name="WordArt 6"/>
        <xdr:cNvSpPr>
          <a:spLocks noChangeArrowheads="1" noChangeShapeType="1" noTextEdit="1"/>
        </xdr:cNvSpPr>
      </xdr:nvSpPr>
      <xdr:spPr bwMode="auto">
        <a:xfrm>
          <a:off x="4943475" y="809625"/>
          <a:ext cx="1771650" cy="542925"/>
        </a:xfrm>
        <a:prstGeom prst="rect">
          <a:avLst/>
        </a:prstGeom>
      </xdr:spPr>
      <xdr:txBody>
        <a:bodyPr wrap="none" fromWordArt="1">
          <a:prstTxWarp prst="textSlantUp">
            <a:avLst>
              <a:gd name="adj" fmla="val 63157"/>
            </a:avLst>
          </a:prstTxWarp>
        </a:bodyPr>
        <a:lstStyle/>
        <a:p>
          <a:pPr algn="ctr" rtl="0"/>
          <a:r>
            <a:rPr lang="en-US" sz="3600" kern="10" spc="0">
              <a:ln w="9525">
                <a:solidFill>
                  <a:srgbClr val="CC99FF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6600CC"/>
                  </a:gs>
                  <a:gs pos="100000">
                    <a:srgbClr val="CC00CC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9999FF"/>
                </a:outerShdw>
              </a:effectLst>
              <a:latin typeface="Impact"/>
            </a:rPr>
            <a:t>LG3 LG6 LG9</a:t>
          </a:r>
          <a:endParaRPr lang="ru-RU" sz="3600" kern="10" spc="0">
            <a:ln w="9525">
              <a:solidFill>
                <a:srgbClr val="CC99FF"/>
              </a:solidFill>
              <a:round/>
              <a:headEnd/>
              <a:tailEnd/>
            </a:ln>
            <a:gradFill rotWithShape="0">
              <a:gsLst>
                <a:gs pos="0">
                  <a:srgbClr val="6600CC"/>
                </a:gs>
                <a:gs pos="100000">
                  <a:srgbClr val="CC00CC"/>
                </a:gs>
              </a:gsLst>
              <a:lin ang="5400000" scaled="1"/>
            </a:gradFill>
            <a:effectLst>
              <a:outerShdw dist="53882" dir="2700000" algn="ctr" rotWithShape="0">
                <a:srgbClr val="9999FF"/>
              </a:outerShdw>
            </a:effectLst>
            <a:latin typeface="Impact"/>
          </a:endParaRPr>
        </a:p>
      </xdr:txBody>
    </xdr:sp>
    <xdr:clientData/>
  </xdr:twoCellAnchor>
  <xdr:twoCellAnchor>
    <xdr:from>
      <xdr:col>8</xdr:col>
      <xdr:colOff>295275</xdr:colOff>
      <xdr:row>5</xdr:row>
      <xdr:rowOff>123825</xdr:rowOff>
    </xdr:from>
    <xdr:to>
      <xdr:col>11</xdr:col>
      <xdr:colOff>371475</xdr:colOff>
      <xdr:row>9</xdr:row>
      <xdr:rowOff>57150</xdr:rowOff>
    </xdr:to>
    <xdr:sp macro="" textlink="">
      <xdr:nvSpPr>
        <xdr:cNvPr id="17416" name="WordArt 8"/>
        <xdr:cNvSpPr>
          <a:spLocks noChangeArrowheads="1" noChangeShapeType="1" noTextEdit="1"/>
        </xdr:cNvSpPr>
      </xdr:nvSpPr>
      <xdr:spPr bwMode="auto">
        <a:xfrm>
          <a:off x="4924425" y="1095375"/>
          <a:ext cx="1905000" cy="581025"/>
        </a:xfrm>
        <a:prstGeom prst="rect">
          <a:avLst/>
        </a:prstGeom>
      </xdr:spPr>
      <xdr:txBody>
        <a:bodyPr wrap="none" fromWordArt="1">
          <a:prstTxWarp prst="textSlantUp">
            <a:avLst>
              <a:gd name="adj" fmla="val 62296"/>
            </a:avLst>
          </a:prstTxWarp>
        </a:bodyPr>
        <a:lstStyle/>
        <a:p>
          <a:pPr algn="ctr" rtl="0"/>
          <a:r>
            <a:rPr lang="en-US" sz="3600" kern="10" spc="0">
              <a:ln w="9525">
                <a:solidFill>
                  <a:srgbClr val="CC99FF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6600CC"/>
                  </a:gs>
                  <a:gs pos="100000">
                    <a:srgbClr val="CC00CC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9999FF"/>
                </a:outerShdw>
              </a:effectLst>
              <a:latin typeface="Impact"/>
            </a:rPr>
            <a:t>LG8 LG12 LRX2000</a:t>
          </a:r>
          <a:endParaRPr lang="ru-RU" sz="3600" kern="10" spc="0">
            <a:ln w="9525">
              <a:solidFill>
                <a:srgbClr val="CC99FF"/>
              </a:solidFill>
              <a:round/>
              <a:headEnd/>
              <a:tailEnd/>
            </a:ln>
            <a:gradFill rotWithShape="0">
              <a:gsLst>
                <a:gs pos="0">
                  <a:srgbClr val="6600CC"/>
                </a:gs>
                <a:gs pos="100000">
                  <a:srgbClr val="CC00CC"/>
                </a:gs>
              </a:gsLst>
              <a:lin ang="5400000" scaled="1"/>
            </a:gradFill>
            <a:effectLst>
              <a:outerShdw dist="53882" dir="2700000" algn="ctr" rotWithShape="0">
                <a:srgbClr val="9999FF"/>
              </a:outerShdw>
            </a:effectLst>
            <a:latin typeface="Impact"/>
          </a:endParaRPr>
        </a:p>
      </xdr:txBody>
    </xdr:sp>
    <xdr:clientData/>
  </xdr:twoCellAnchor>
  <xdr:twoCellAnchor>
    <xdr:from>
      <xdr:col>8</xdr:col>
      <xdr:colOff>314325</xdr:colOff>
      <xdr:row>7</xdr:row>
      <xdr:rowOff>95250</xdr:rowOff>
    </xdr:from>
    <xdr:to>
      <xdr:col>11</xdr:col>
      <xdr:colOff>390525</xdr:colOff>
      <xdr:row>11</xdr:row>
      <xdr:rowOff>28575</xdr:rowOff>
    </xdr:to>
    <xdr:sp macro="" textlink="">
      <xdr:nvSpPr>
        <xdr:cNvPr id="17417" name="WordArt 9"/>
        <xdr:cNvSpPr>
          <a:spLocks noChangeArrowheads="1" noChangeShapeType="1" noTextEdit="1"/>
        </xdr:cNvSpPr>
      </xdr:nvSpPr>
      <xdr:spPr bwMode="auto">
        <a:xfrm>
          <a:off x="4943475" y="1390650"/>
          <a:ext cx="1905000" cy="581025"/>
        </a:xfrm>
        <a:prstGeom prst="rect">
          <a:avLst/>
        </a:prstGeom>
      </xdr:spPr>
      <xdr:txBody>
        <a:bodyPr wrap="none" fromWordArt="1">
          <a:prstTxWarp prst="textSlantUp">
            <a:avLst>
              <a:gd name="adj" fmla="val 62296"/>
            </a:avLst>
          </a:prstTxWarp>
        </a:bodyPr>
        <a:lstStyle/>
        <a:p>
          <a:pPr algn="ctr" rtl="0"/>
          <a:r>
            <a:rPr lang="en-US" sz="3600" kern="10" spc="0">
              <a:ln w="9525">
                <a:solidFill>
                  <a:srgbClr val="CC99FF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6600CC"/>
                  </a:gs>
                  <a:gs pos="100000">
                    <a:srgbClr val="CC00CC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9999FF"/>
                </a:outerShdw>
              </a:effectLst>
              <a:latin typeface="Impact"/>
            </a:rPr>
            <a:t>LRX3000</a:t>
          </a:r>
          <a:endParaRPr lang="ru-RU" sz="3600" kern="10" spc="0">
            <a:ln w="9525">
              <a:solidFill>
                <a:srgbClr val="CC99FF"/>
              </a:solidFill>
              <a:round/>
              <a:headEnd/>
              <a:tailEnd/>
            </a:ln>
            <a:gradFill rotWithShape="0">
              <a:gsLst>
                <a:gs pos="0">
                  <a:srgbClr val="6600CC"/>
                </a:gs>
                <a:gs pos="100000">
                  <a:srgbClr val="CC00CC"/>
                </a:gs>
              </a:gsLst>
              <a:lin ang="5400000" scaled="1"/>
            </a:gradFill>
            <a:effectLst>
              <a:outerShdw dist="53882" dir="2700000" algn="ctr" rotWithShape="0">
                <a:srgbClr val="9999FF"/>
              </a:outerShdw>
            </a:effectLst>
            <a:latin typeface="Impact"/>
          </a:endParaRPr>
        </a:p>
      </xdr:txBody>
    </xdr:sp>
    <xdr:clientData/>
  </xdr:twoCellAnchor>
  <xdr:twoCellAnchor>
    <xdr:from>
      <xdr:col>8</xdr:col>
      <xdr:colOff>466725</xdr:colOff>
      <xdr:row>13</xdr:row>
      <xdr:rowOff>152400</xdr:rowOff>
    </xdr:from>
    <xdr:to>
      <xdr:col>11</xdr:col>
      <xdr:colOff>276225</xdr:colOff>
      <xdr:row>15</xdr:row>
      <xdr:rowOff>114300</xdr:rowOff>
    </xdr:to>
    <xdr:sp macro="" textlink="">
      <xdr:nvSpPr>
        <xdr:cNvPr id="17418" name="AutoShape 10"/>
        <xdr:cNvSpPr>
          <a:spLocks noChangeArrowheads="1"/>
        </xdr:cNvSpPr>
      </xdr:nvSpPr>
      <xdr:spPr bwMode="auto">
        <a:xfrm>
          <a:off x="5095875" y="2419350"/>
          <a:ext cx="1638300" cy="285750"/>
        </a:xfrm>
        <a:prstGeom prst="parallelogram">
          <a:avLst>
            <a:gd name="adj" fmla="val 143333"/>
          </a:avLst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400050</xdr:colOff>
      <xdr:row>15</xdr:row>
      <xdr:rowOff>104775</xdr:rowOff>
    </xdr:from>
    <xdr:to>
      <xdr:col>10</xdr:col>
      <xdr:colOff>466725</xdr:colOff>
      <xdr:row>17</xdr:row>
      <xdr:rowOff>57150</xdr:rowOff>
    </xdr:to>
    <xdr:sp macro="" textlink="">
      <xdr:nvSpPr>
        <xdr:cNvPr id="17419" name="AutoShape 11"/>
        <xdr:cNvSpPr>
          <a:spLocks noChangeArrowheads="1"/>
        </xdr:cNvSpPr>
      </xdr:nvSpPr>
      <xdr:spPr bwMode="auto">
        <a:xfrm>
          <a:off x="5029200" y="2695575"/>
          <a:ext cx="1285875" cy="276225"/>
        </a:xfrm>
        <a:prstGeom prst="parallelogram">
          <a:avLst>
            <a:gd name="adj" fmla="val 27586"/>
          </a:avLst>
        </a:prstGeom>
        <a:solidFill>
          <a:srgbClr val="969696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409575</xdr:colOff>
      <xdr:row>17</xdr:row>
      <xdr:rowOff>66675</xdr:rowOff>
    </xdr:from>
    <xdr:to>
      <xdr:col>10</xdr:col>
      <xdr:colOff>381000</xdr:colOff>
      <xdr:row>18</xdr:row>
      <xdr:rowOff>9525</xdr:rowOff>
    </xdr:to>
    <xdr:sp macro="" textlink="">
      <xdr:nvSpPr>
        <xdr:cNvPr id="17420" name="AutoShape 12" descr="Темный горизонтальный"/>
        <xdr:cNvSpPr>
          <a:spLocks noChangeArrowheads="1"/>
        </xdr:cNvSpPr>
      </xdr:nvSpPr>
      <xdr:spPr bwMode="auto">
        <a:xfrm>
          <a:off x="5038725" y="2981325"/>
          <a:ext cx="1190625" cy="104775"/>
        </a:xfrm>
        <a:prstGeom prst="parallelogram">
          <a:avLst>
            <a:gd name="adj" fmla="val 0"/>
          </a:avLst>
        </a:prstGeom>
        <a:pattFill prst="dkHorz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276225</xdr:colOff>
      <xdr:row>13</xdr:row>
      <xdr:rowOff>152400</xdr:rowOff>
    </xdr:from>
    <xdr:to>
      <xdr:col>11</xdr:col>
      <xdr:colOff>276225</xdr:colOff>
      <xdr:row>15</xdr:row>
      <xdr:rowOff>85725</xdr:rowOff>
    </xdr:to>
    <xdr:sp macro="" textlink="">
      <xdr:nvSpPr>
        <xdr:cNvPr id="17421" name="Line 13"/>
        <xdr:cNvSpPr>
          <a:spLocks noChangeShapeType="1"/>
        </xdr:cNvSpPr>
      </xdr:nvSpPr>
      <xdr:spPr bwMode="auto">
        <a:xfrm>
          <a:off x="6734175" y="2419350"/>
          <a:ext cx="0" cy="2571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381000</xdr:colOff>
      <xdr:row>15</xdr:row>
      <xdr:rowOff>66675</xdr:rowOff>
    </xdr:from>
    <xdr:to>
      <xdr:col>11</xdr:col>
      <xdr:colOff>295275</xdr:colOff>
      <xdr:row>18</xdr:row>
      <xdr:rowOff>19050</xdr:rowOff>
    </xdr:to>
    <xdr:sp macro="" textlink="">
      <xdr:nvSpPr>
        <xdr:cNvPr id="17422" name="Line 14"/>
        <xdr:cNvSpPr>
          <a:spLocks noChangeShapeType="1"/>
        </xdr:cNvSpPr>
      </xdr:nvSpPr>
      <xdr:spPr bwMode="auto">
        <a:xfrm flipV="1">
          <a:off x="6229350" y="2657475"/>
          <a:ext cx="523875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85725</xdr:colOff>
      <xdr:row>14</xdr:row>
      <xdr:rowOff>57150</xdr:rowOff>
    </xdr:from>
    <xdr:to>
      <xdr:col>10</xdr:col>
      <xdr:colOff>600075</xdr:colOff>
      <xdr:row>15</xdr:row>
      <xdr:rowOff>47625</xdr:rowOff>
    </xdr:to>
    <xdr:sp macro="" textlink="">
      <xdr:nvSpPr>
        <xdr:cNvPr id="17423" name="AutoShape 15" descr="Крупная сетка"/>
        <xdr:cNvSpPr>
          <a:spLocks noChangeArrowheads="1"/>
        </xdr:cNvSpPr>
      </xdr:nvSpPr>
      <xdr:spPr bwMode="auto">
        <a:xfrm>
          <a:off x="5324475" y="2486025"/>
          <a:ext cx="1123950" cy="152400"/>
        </a:xfrm>
        <a:prstGeom prst="parallelogram">
          <a:avLst>
            <a:gd name="adj" fmla="val 128926"/>
          </a:avLst>
        </a:prstGeom>
        <a:pattFill prst="lgGrid">
          <a:fgClr>
            <a:srgbClr val="000000"/>
          </a:fgClr>
          <a:bgClr>
            <a:srgbClr val="FFFFFF"/>
          </a:bgClr>
        </a:patt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228600</xdr:colOff>
      <xdr:row>11</xdr:row>
      <xdr:rowOff>142875</xdr:rowOff>
    </xdr:from>
    <xdr:to>
      <xdr:col>10</xdr:col>
      <xdr:colOff>161925</xdr:colOff>
      <xdr:row>14</xdr:row>
      <xdr:rowOff>76200</xdr:rowOff>
    </xdr:to>
    <xdr:sp macro="" textlink="">
      <xdr:nvSpPr>
        <xdr:cNvPr id="17424" name="AutoShape 16"/>
        <xdr:cNvSpPr>
          <a:spLocks noChangeArrowheads="1"/>
        </xdr:cNvSpPr>
      </xdr:nvSpPr>
      <xdr:spPr bwMode="auto">
        <a:xfrm>
          <a:off x="5467350" y="2085975"/>
          <a:ext cx="542925" cy="419100"/>
        </a:xfrm>
        <a:prstGeom prst="downArrow">
          <a:avLst>
            <a:gd name="adj1" fmla="val 50000"/>
            <a:gd name="adj2" fmla="val 25000"/>
          </a:avLst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590550</xdr:colOff>
      <xdr:row>12</xdr:row>
      <xdr:rowOff>19050</xdr:rowOff>
    </xdr:from>
    <xdr:to>
      <xdr:col>10</xdr:col>
      <xdr:colOff>523875</xdr:colOff>
      <xdr:row>14</xdr:row>
      <xdr:rowOff>114300</xdr:rowOff>
    </xdr:to>
    <xdr:sp macro="" textlink="">
      <xdr:nvSpPr>
        <xdr:cNvPr id="17425" name="AutoShape 17"/>
        <xdr:cNvSpPr>
          <a:spLocks noChangeArrowheads="1"/>
        </xdr:cNvSpPr>
      </xdr:nvSpPr>
      <xdr:spPr bwMode="auto">
        <a:xfrm>
          <a:off x="5829300" y="2124075"/>
          <a:ext cx="542925" cy="419100"/>
        </a:xfrm>
        <a:prstGeom prst="downArrow">
          <a:avLst>
            <a:gd name="adj1" fmla="val 50000"/>
            <a:gd name="adj2" fmla="val 25000"/>
          </a:avLst>
        </a:prstGeom>
        <a:solidFill>
          <a:srgbClr val="00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333375</xdr:colOff>
      <xdr:row>17</xdr:row>
      <xdr:rowOff>19050</xdr:rowOff>
    </xdr:from>
    <xdr:to>
      <xdr:col>9</xdr:col>
      <xdr:colOff>9525</xdr:colOff>
      <xdr:row>20</xdr:row>
      <xdr:rowOff>95250</xdr:rowOff>
    </xdr:to>
    <xdr:sp macro="" textlink="">
      <xdr:nvSpPr>
        <xdr:cNvPr id="17426" name="AutoShape 18"/>
        <xdr:cNvSpPr>
          <a:spLocks noChangeArrowheads="1"/>
        </xdr:cNvSpPr>
      </xdr:nvSpPr>
      <xdr:spPr bwMode="auto">
        <a:xfrm rot="-13564856">
          <a:off x="4824412" y="3071813"/>
          <a:ext cx="561975" cy="285750"/>
        </a:xfrm>
        <a:custGeom>
          <a:avLst/>
          <a:gdLst>
            <a:gd name="G0" fmla="+- 13912 0 0"/>
            <a:gd name="G1" fmla="+- 5040 0 0"/>
            <a:gd name="G2" fmla="+- 21600 0 5040"/>
            <a:gd name="G3" fmla="+- 10800 0 5040"/>
            <a:gd name="G4" fmla="+- 21600 0 13912"/>
            <a:gd name="G5" fmla="*/ G4 G3 10800"/>
            <a:gd name="G6" fmla="+- 21600 0 G5"/>
            <a:gd name="T0" fmla="*/ 13912 w 21600"/>
            <a:gd name="T1" fmla="*/ 0 h 21600"/>
            <a:gd name="T2" fmla="*/ 0 w 21600"/>
            <a:gd name="T3" fmla="*/ 10800 h 21600"/>
            <a:gd name="T4" fmla="*/ 13912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3912" y="0"/>
              </a:moveTo>
              <a:lnTo>
                <a:pt x="13912" y="5040"/>
              </a:lnTo>
              <a:lnTo>
                <a:pt x="3375" y="5040"/>
              </a:lnTo>
              <a:lnTo>
                <a:pt x="3375" y="16560"/>
              </a:lnTo>
              <a:lnTo>
                <a:pt x="13912" y="16560"/>
              </a:lnTo>
              <a:lnTo>
                <a:pt x="13912" y="21600"/>
              </a:lnTo>
              <a:lnTo>
                <a:pt x="21600" y="10800"/>
              </a:lnTo>
              <a:close/>
            </a:path>
            <a:path w="21600" h="21600">
              <a:moveTo>
                <a:pt x="1350" y="5040"/>
              </a:moveTo>
              <a:lnTo>
                <a:pt x="1350" y="16560"/>
              </a:lnTo>
              <a:lnTo>
                <a:pt x="2700" y="16560"/>
              </a:lnTo>
              <a:lnTo>
                <a:pt x="2700" y="5040"/>
              </a:lnTo>
              <a:close/>
            </a:path>
            <a:path w="21600" h="21600">
              <a:moveTo>
                <a:pt x="0" y="5040"/>
              </a:moveTo>
              <a:lnTo>
                <a:pt x="0" y="16560"/>
              </a:lnTo>
              <a:lnTo>
                <a:pt x="675" y="16560"/>
              </a:lnTo>
              <a:lnTo>
                <a:pt x="675" y="5040"/>
              </a:lnTo>
              <a:close/>
            </a:path>
          </a:pathLst>
        </a:cu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104775</xdr:colOff>
      <xdr:row>17</xdr:row>
      <xdr:rowOff>38100</xdr:rowOff>
    </xdr:from>
    <xdr:to>
      <xdr:col>9</xdr:col>
      <xdr:colOff>390525</xdr:colOff>
      <xdr:row>20</xdr:row>
      <xdr:rowOff>114300</xdr:rowOff>
    </xdr:to>
    <xdr:sp macro="" textlink="">
      <xdr:nvSpPr>
        <xdr:cNvPr id="17427" name="AutoShape 19"/>
        <xdr:cNvSpPr>
          <a:spLocks noChangeArrowheads="1"/>
        </xdr:cNvSpPr>
      </xdr:nvSpPr>
      <xdr:spPr bwMode="auto">
        <a:xfrm rot="-13564856">
          <a:off x="5205412" y="3090863"/>
          <a:ext cx="561975" cy="285750"/>
        </a:xfrm>
        <a:custGeom>
          <a:avLst/>
          <a:gdLst>
            <a:gd name="G0" fmla="+- 13912 0 0"/>
            <a:gd name="G1" fmla="+- 5040 0 0"/>
            <a:gd name="G2" fmla="+- 21600 0 5040"/>
            <a:gd name="G3" fmla="+- 10800 0 5040"/>
            <a:gd name="G4" fmla="+- 21600 0 13912"/>
            <a:gd name="G5" fmla="*/ G4 G3 10800"/>
            <a:gd name="G6" fmla="+- 21600 0 G5"/>
            <a:gd name="T0" fmla="*/ 13912 w 21600"/>
            <a:gd name="T1" fmla="*/ 0 h 21600"/>
            <a:gd name="T2" fmla="*/ 0 w 21600"/>
            <a:gd name="T3" fmla="*/ 10800 h 21600"/>
            <a:gd name="T4" fmla="*/ 13912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3912" y="0"/>
              </a:moveTo>
              <a:lnTo>
                <a:pt x="13912" y="5040"/>
              </a:lnTo>
              <a:lnTo>
                <a:pt x="3375" y="5040"/>
              </a:lnTo>
              <a:lnTo>
                <a:pt x="3375" y="16560"/>
              </a:lnTo>
              <a:lnTo>
                <a:pt x="13912" y="16560"/>
              </a:lnTo>
              <a:lnTo>
                <a:pt x="13912" y="21600"/>
              </a:lnTo>
              <a:lnTo>
                <a:pt x="21600" y="10800"/>
              </a:lnTo>
              <a:close/>
            </a:path>
            <a:path w="21600" h="21600">
              <a:moveTo>
                <a:pt x="1350" y="5040"/>
              </a:moveTo>
              <a:lnTo>
                <a:pt x="1350" y="16560"/>
              </a:lnTo>
              <a:lnTo>
                <a:pt x="2700" y="16560"/>
              </a:lnTo>
              <a:lnTo>
                <a:pt x="2700" y="5040"/>
              </a:lnTo>
              <a:close/>
            </a:path>
            <a:path w="21600" h="21600">
              <a:moveTo>
                <a:pt x="0" y="5040"/>
              </a:moveTo>
              <a:lnTo>
                <a:pt x="0" y="16560"/>
              </a:lnTo>
              <a:lnTo>
                <a:pt x="675" y="16560"/>
              </a:lnTo>
              <a:lnTo>
                <a:pt x="675" y="5040"/>
              </a:lnTo>
              <a:close/>
            </a:path>
          </a:pathLst>
        </a:cu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9</xdr:col>
      <xdr:colOff>514350</xdr:colOff>
      <xdr:row>17</xdr:row>
      <xdr:rowOff>66675</xdr:rowOff>
    </xdr:from>
    <xdr:to>
      <xdr:col>10</xdr:col>
      <xdr:colOff>190500</xdr:colOff>
      <xdr:row>20</xdr:row>
      <xdr:rowOff>142875</xdr:rowOff>
    </xdr:to>
    <xdr:sp macro="" textlink="">
      <xdr:nvSpPr>
        <xdr:cNvPr id="17428" name="AutoShape 20"/>
        <xdr:cNvSpPr>
          <a:spLocks noChangeArrowheads="1"/>
        </xdr:cNvSpPr>
      </xdr:nvSpPr>
      <xdr:spPr bwMode="auto">
        <a:xfrm rot="-13564856">
          <a:off x="5614987" y="3119438"/>
          <a:ext cx="561975" cy="285750"/>
        </a:xfrm>
        <a:custGeom>
          <a:avLst/>
          <a:gdLst>
            <a:gd name="G0" fmla="+- 13912 0 0"/>
            <a:gd name="G1" fmla="+- 5040 0 0"/>
            <a:gd name="G2" fmla="+- 21600 0 5040"/>
            <a:gd name="G3" fmla="+- 10800 0 5040"/>
            <a:gd name="G4" fmla="+- 21600 0 13912"/>
            <a:gd name="G5" fmla="*/ G4 G3 10800"/>
            <a:gd name="G6" fmla="+- 21600 0 G5"/>
            <a:gd name="T0" fmla="*/ 13912 w 21600"/>
            <a:gd name="T1" fmla="*/ 0 h 21600"/>
            <a:gd name="T2" fmla="*/ 0 w 21600"/>
            <a:gd name="T3" fmla="*/ 10800 h 21600"/>
            <a:gd name="T4" fmla="*/ 13912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3912" y="0"/>
              </a:moveTo>
              <a:lnTo>
                <a:pt x="13912" y="5040"/>
              </a:lnTo>
              <a:lnTo>
                <a:pt x="3375" y="5040"/>
              </a:lnTo>
              <a:lnTo>
                <a:pt x="3375" y="16560"/>
              </a:lnTo>
              <a:lnTo>
                <a:pt x="13912" y="16560"/>
              </a:lnTo>
              <a:lnTo>
                <a:pt x="13912" y="21600"/>
              </a:lnTo>
              <a:lnTo>
                <a:pt x="21600" y="10800"/>
              </a:lnTo>
              <a:close/>
            </a:path>
            <a:path w="21600" h="21600">
              <a:moveTo>
                <a:pt x="1350" y="5040"/>
              </a:moveTo>
              <a:lnTo>
                <a:pt x="1350" y="16560"/>
              </a:lnTo>
              <a:lnTo>
                <a:pt x="2700" y="16560"/>
              </a:lnTo>
              <a:lnTo>
                <a:pt x="2700" y="5040"/>
              </a:lnTo>
              <a:close/>
            </a:path>
            <a:path w="21600" h="21600">
              <a:moveTo>
                <a:pt x="0" y="5040"/>
              </a:moveTo>
              <a:lnTo>
                <a:pt x="0" y="16560"/>
              </a:lnTo>
              <a:lnTo>
                <a:pt x="675" y="16560"/>
              </a:lnTo>
              <a:lnTo>
                <a:pt x="675" y="5040"/>
              </a:lnTo>
              <a:close/>
            </a:path>
          </a:pathLst>
        </a:custGeom>
        <a:solidFill>
          <a:srgbClr val="FF66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5</xdr:row>
      <xdr:rowOff>28575</xdr:rowOff>
    </xdr:from>
    <xdr:to>
      <xdr:col>3</xdr:col>
      <xdr:colOff>152400</xdr:colOff>
      <xdr:row>10</xdr:row>
      <xdr:rowOff>123825</xdr:rowOff>
    </xdr:to>
    <xdr:grpSp>
      <xdr:nvGrpSpPr>
        <xdr:cNvPr id="6145" name="Group 1"/>
        <xdr:cNvGrpSpPr>
          <a:grpSpLocks/>
        </xdr:cNvGrpSpPr>
      </xdr:nvGrpSpPr>
      <xdr:grpSpPr bwMode="auto">
        <a:xfrm>
          <a:off x="1066800" y="1209675"/>
          <a:ext cx="914400" cy="904875"/>
          <a:chOff x="1872" y="3168"/>
          <a:chExt cx="1440" cy="1437"/>
        </a:xfrm>
      </xdr:grpSpPr>
      <xdr:sp macro="" textlink="">
        <xdr:nvSpPr>
          <xdr:cNvPr id="6146" name="Freeform 2"/>
          <xdr:cNvSpPr>
            <a:spLocks/>
          </xdr:cNvSpPr>
        </xdr:nvSpPr>
        <xdr:spPr bwMode="auto">
          <a:xfrm>
            <a:off x="2304" y="3453"/>
            <a:ext cx="576" cy="1152"/>
          </a:xfrm>
          <a:custGeom>
            <a:avLst/>
            <a:gdLst/>
            <a:ahLst/>
            <a:cxnLst>
              <a:cxn ang="0">
                <a:pos x="864" y="1008"/>
              </a:cxn>
              <a:cxn ang="0">
                <a:pos x="864" y="0"/>
              </a:cxn>
              <a:cxn ang="0">
                <a:pos x="432" y="288"/>
              </a:cxn>
              <a:cxn ang="0">
                <a:pos x="0" y="0"/>
              </a:cxn>
              <a:cxn ang="0">
                <a:pos x="0" y="144"/>
              </a:cxn>
              <a:cxn ang="0">
                <a:pos x="432" y="432"/>
              </a:cxn>
              <a:cxn ang="0">
                <a:pos x="432" y="576"/>
              </a:cxn>
              <a:cxn ang="0">
                <a:pos x="0" y="288"/>
              </a:cxn>
              <a:cxn ang="0">
                <a:pos x="0" y="432"/>
              </a:cxn>
              <a:cxn ang="0">
                <a:pos x="432" y="720"/>
              </a:cxn>
              <a:cxn ang="0">
                <a:pos x="432" y="864"/>
              </a:cxn>
              <a:cxn ang="0">
                <a:pos x="0" y="576"/>
              </a:cxn>
              <a:cxn ang="0">
                <a:pos x="0" y="720"/>
              </a:cxn>
              <a:cxn ang="0">
                <a:pos x="432" y="1008"/>
              </a:cxn>
              <a:cxn ang="0">
                <a:pos x="432" y="1152"/>
              </a:cxn>
              <a:cxn ang="0">
                <a:pos x="0" y="864"/>
              </a:cxn>
              <a:cxn ang="0">
                <a:pos x="0" y="1008"/>
              </a:cxn>
              <a:cxn ang="0">
                <a:pos x="432" y="1296"/>
              </a:cxn>
              <a:cxn ang="0">
                <a:pos x="864" y="1008"/>
              </a:cxn>
            </a:cxnLst>
            <a:rect l="0" t="0" r="r" b="b"/>
            <a:pathLst>
              <a:path w="864" h="1296">
                <a:moveTo>
                  <a:pt x="864" y="1008"/>
                </a:moveTo>
                <a:lnTo>
                  <a:pt x="864" y="0"/>
                </a:lnTo>
                <a:lnTo>
                  <a:pt x="432" y="288"/>
                </a:lnTo>
                <a:lnTo>
                  <a:pt x="0" y="0"/>
                </a:lnTo>
                <a:lnTo>
                  <a:pt x="0" y="144"/>
                </a:lnTo>
                <a:lnTo>
                  <a:pt x="432" y="432"/>
                </a:lnTo>
                <a:lnTo>
                  <a:pt x="432" y="576"/>
                </a:lnTo>
                <a:lnTo>
                  <a:pt x="0" y="288"/>
                </a:lnTo>
                <a:lnTo>
                  <a:pt x="0" y="432"/>
                </a:lnTo>
                <a:lnTo>
                  <a:pt x="432" y="720"/>
                </a:lnTo>
                <a:lnTo>
                  <a:pt x="432" y="864"/>
                </a:lnTo>
                <a:lnTo>
                  <a:pt x="0" y="576"/>
                </a:lnTo>
                <a:lnTo>
                  <a:pt x="0" y="720"/>
                </a:lnTo>
                <a:lnTo>
                  <a:pt x="432" y="1008"/>
                </a:lnTo>
                <a:lnTo>
                  <a:pt x="432" y="1152"/>
                </a:lnTo>
                <a:lnTo>
                  <a:pt x="0" y="864"/>
                </a:lnTo>
                <a:lnTo>
                  <a:pt x="0" y="1008"/>
                </a:lnTo>
                <a:lnTo>
                  <a:pt x="432" y="1296"/>
                </a:lnTo>
                <a:lnTo>
                  <a:pt x="864" y="1008"/>
                </a:lnTo>
                <a:close/>
              </a:path>
            </a:pathLst>
          </a:custGeom>
          <a:solidFill>
            <a:srgbClr val="00CCFF"/>
          </a:solidFill>
          <a:ln w="1587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6147" name="Line 3"/>
          <xdr:cNvSpPr>
            <a:spLocks noChangeShapeType="1"/>
          </xdr:cNvSpPr>
        </xdr:nvSpPr>
        <xdr:spPr bwMode="auto">
          <a:xfrm flipH="1" flipV="1">
            <a:off x="1872" y="3888"/>
            <a:ext cx="432" cy="432"/>
          </a:xfrm>
          <a:prstGeom prst="line">
            <a:avLst/>
          </a:prstGeom>
          <a:noFill/>
          <a:ln w="1587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6148" name="Line 4"/>
          <xdr:cNvSpPr>
            <a:spLocks noChangeShapeType="1"/>
          </xdr:cNvSpPr>
        </xdr:nvSpPr>
        <xdr:spPr bwMode="auto">
          <a:xfrm flipV="1">
            <a:off x="2880" y="3888"/>
            <a:ext cx="432" cy="432"/>
          </a:xfrm>
          <a:prstGeom prst="line">
            <a:avLst/>
          </a:prstGeom>
          <a:noFill/>
          <a:ln w="1587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6149" name="Line 5"/>
          <xdr:cNvSpPr>
            <a:spLocks noChangeShapeType="1"/>
          </xdr:cNvSpPr>
        </xdr:nvSpPr>
        <xdr:spPr bwMode="auto">
          <a:xfrm flipV="1">
            <a:off x="1872" y="3168"/>
            <a:ext cx="720" cy="720"/>
          </a:xfrm>
          <a:prstGeom prst="line">
            <a:avLst/>
          </a:prstGeom>
          <a:noFill/>
          <a:ln w="15875">
            <a:solidFill>
              <a:srgbClr val="000080"/>
            </a:solidFill>
            <a:round/>
            <a:headEnd/>
            <a:tailEnd/>
          </a:ln>
        </xdr:spPr>
      </xdr:sp>
      <xdr:sp macro="" textlink="">
        <xdr:nvSpPr>
          <xdr:cNvPr id="6150" name="Line 6"/>
          <xdr:cNvSpPr>
            <a:spLocks noChangeShapeType="1"/>
          </xdr:cNvSpPr>
        </xdr:nvSpPr>
        <xdr:spPr bwMode="auto">
          <a:xfrm>
            <a:off x="2592" y="3168"/>
            <a:ext cx="720" cy="720"/>
          </a:xfrm>
          <a:prstGeom prst="line">
            <a:avLst/>
          </a:prstGeom>
          <a:noFill/>
          <a:ln w="15875">
            <a:solidFill>
              <a:srgbClr val="00008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476250</xdr:colOff>
      <xdr:row>5</xdr:row>
      <xdr:rowOff>104775</xdr:rowOff>
    </xdr:from>
    <xdr:to>
      <xdr:col>10</xdr:col>
      <xdr:colOff>38100</xdr:colOff>
      <xdr:row>10</xdr:row>
      <xdr:rowOff>66675</xdr:rowOff>
    </xdr:to>
    <xdr:grpSp>
      <xdr:nvGrpSpPr>
        <xdr:cNvPr id="6151" name="Group 7"/>
        <xdr:cNvGrpSpPr>
          <a:grpSpLocks/>
        </xdr:cNvGrpSpPr>
      </xdr:nvGrpSpPr>
      <xdr:grpSpPr bwMode="auto">
        <a:xfrm>
          <a:off x="5353050" y="1285875"/>
          <a:ext cx="781050" cy="771525"/>
          <a:chOff x="3024" y="5472"/>
          <a:chExt cx="4689" cy="4896"/>
        </a:xfrm>
      </xdr:grpSpPr>
      <xdr:sp macro="" textlink="">
        <xdr:nvSpPr>
          <xdr:cNvPr id="6152" name="AutoShape 8"/>
          <xdr:cNvSpPr>
            <a:spLocks noChangeArrowheads="1"/>
          </xdr:cNvSpPr>
        </xdr:nvSpPr>
        <xdr:spPr bwMode="auto">
          <a:xfrm>
            <a:off x="3024" y="5472"/>
            <a:ext cx="4608" cy="4896"/>
          </a:xfrm>
          <a:custGeom>
            <a:avLst/>
            <a:gdLst>
              <a:gd name="G0" fmla="+- 557 0 0"/>
              <a:gd name="G1" fmla="+- 21600 0 557"/>
              <a:gd name="G2" fmla="+- 21600 0 557"/>
              <a:gd name="G3" fmla="*/ G0 2929 10000"/>
              <a:gd name="G4" fmla="+- 21600 0 G3"/>
              <a:gd name="G5" fmla="+- 21600 0 G3"/>
              <a:gd name="T0" fmla="*/ 10800 w 21600"/>
              <a:gd name="T1" fmla="*/ 0 h 21600"/>
              <a:gd name="T2" fmla="*/ 3163 w 21600"/>
              <a:gd name="T3" fmla="*/ 3163 h 21600"/>
              <a:gd name="T4" fmla="*/ 0 w 21600"/>
              <a:gd name="T5" fmla="*/ 10800 h 21600"/>
              <a:gd name="T6" fmla="*/ 3163 w 21600"/>
              <a:gd name="T7" fmla="*/ 18437 h 21600"/>
              <a:gd name="T8" fmla="*/ 10800 w 21600"/>
              <a:gd name="T9" fmla="*/ 21600 h 21600"/>
              <a:gd name="T10" fmla="*/ 18437 w 21600"/>
              <a:gd name="T11" fmla="*/ 18437 h 21600"/>
              <a:gd name="T12" fmla="*/ 21600 w 21600"/>
              <a:gd name="T13" fmla="*/ 10800 h 21600"/>
              <a:gd name="T14" fmla="*/ 18437 w 21600"/>
              <a:gd name="T15" fmla="*/ 3163 h 21600"/>
              <a:gd name="T16" fmla="*/ 3163 w 21600"/>
              <a:gd name="T17" fmla="*/ 3163 h 21600"/>
              <a:gd name="T18" fmla="*/ 18437 w 21600"/>
              <a:gd name="T19" fmla="*/ 18437 h 2160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T16" t="T17" r="T18" b="T19"/>
            <a:pathLst>
              <a:path w="21600" h="21600">
                <a:moveTo>
                  <a:pt x="0" y="10800"/>
                </a:moveTo>
                <a:cubicBezTo>
                  <a:pt x="0" y="4835"/>
                  <a:pt x="4835" y="0"/>
                  <a:pt x="10800" y="0"/>
                </a:cubicBezTo>
                <a:cubicBezTo>
                  <a:pt x="16765" y="0"/>
                  <a:pt x="21600" y="4835"/>
                  <a:pt x="21600" y="10800"/>
                </a:cubicBezTo>
                <a:cubicBezTo>
                  <a:pt x="21600" y="16765"/>
                  <a:pt x="16765" y="21600"/>
                  <a:pt x="10800" y="21600"/>
                </a:cubicBezTo>
                <a:cubicBezTo>
                  <a:pt x="4835" y="21600"/>
                  <a:pt x="0" y="16765"/>
                  <a:pt x="0" y="10800"/>
                </a:cubicBezTo>
                <a:close/>
                <a:moveTo>
                  <a:pt x="557" y="10800"/>
                </a:moveTo>
                <a:cubicBezTo>
                  <a:pt x="557" y="16457"/>
                  <a:pt x="5143" y="21043"/>
                  <a:pt x="10800" y="21043"/>
                </a:cubicBezTo>
                <a:cubicBezTo>
                  <a:pt x="16457" y="21043"/>
                  <a:pt x="21043" y="16457"/>
                  <a:pt x="21043" y="10800"/>
                </a:cubicBezTo>
                <a:cubicBezTo>
                  <a:pt x="21043" y="5143"/>
                  <a:pt x="16457" y="557"/>
                  <a:pt x="10800" y="557"/>
                </a:cubicBezTo>
                <a:cubicBezTo>
                  <a:pt x="5143" y="557"/>
                  <a:pt x="557" y="5143"/>
                  <a:pt x="557" y="10800"/>
                </a:cubicBezTo>
                <a:close/>
              </a:path>
            </a:pathLst>
          </a:custGeom>
          <a:solidFill>
            <a:srgbClr val="0000FF"/>
          </a:solidFill>
          <a:ln w="9525">
            <a:solidFill>
              <a:srgbClr val="000000"/>
            </a:solidFill>
            <a:round/>
            <a:headEnd/>
            <a:tailEnd/>
          </a:ln>
          <a:effectLst>
            <a:outerShdw dist="107763" dir="2700000" algn="ctr" rotWithShape="0">
              <a:srgbClr val="808080"/>
            </a:outerShdw>
          </a:effectLst>
        </xdr:spPr>
      </xdr:sp>
      <xdr:grpSp>
        <xdr:nvGrpSpPr>
          <xdr:cNvPr id="6153" name="Group 9"/>
          <xdr:cNvGrpSpPr>
            <a:grpSpLocks/>
          </xdr:cNvGrpSpPr>
        </xdr:nvGrpSpPr>
        <xdr:grpSpPr bwMode="auto">
          <a:xfrm>
            <a:off x="4056" y="6035"/>
            <a:ext cx="3657" cy="4229"/>
            <a:chOff x="4056" y="6035"/>
            <a:chExt cx="3657" cy="4229"/>
          </a:xfrm>
        </xdr:grpSpPr>
        <xdr:grpSp>
          <xdr:nvGrpSpPr>
            <xdr:cNvPr id="6154" name="Group 10"/>
            <xdr:cNvGrpSpPr>
              <a:grpSpLocks/>
            </xdr:cNvGrpSpPr>
          </xdr:nvGrpSpPr>
          <xdr:grpSpPr bwMode="auto">
            <a:xfrm rot="-2683678">
              <a:off x="4056" y="6808"/>
              <a:ext cx="1440" cy="3456"/>
              <a:chOff x="3744" y="6048"/>
              <a:chExt cx="1440" cy="3456"/>
            </a:xfrm>
          </xdr:grpSpPr>
          <xdr:sp macro="" textlink="">
            <xdr:nvSpPr>
              <xdr:cNvPr id="6155" name="AutoShape 11"/>
              <xdr:cNvSpPr>
                <a:spLocks noChangeArrowheads="1"/>
              </xdr:cNvSpPr>
            </xdr:nvSpPr>
            <xdr:spPr bwMode="auto">
              <a:xfrm>
                <a:off x="3888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6156" name="AutoShape 12"/>
              <xdr:cNvSpPr>
                <a:spLocks noChangeArrowheads="1"/>
              </xdr:cNvSpPr>
            </xdr:nvSpPr>
            <xdr:spPr bwMode="auto">
              <a:xfrm>
                <a:off x="4176" y="6048"/>
                <a:ext cx="576" cy="3456"/>
              </a:xfrm>
              <a:prstGeom prst="parallelogram">
                <a:avLst>
                  <a:gd name="adj" fmla="val 73787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6157" name="AutoShape 13"/>
              <xdr:cNvSpPr>
                <a:spLocks noChangeArrowheads="1"/>
              </xdr:cNvSpPr>
            </xdr:nvSpPr>
            <xdr:spPr bwMode="auto">
              <a:xfrm>
                <a:off x="4464" y="6048"/>
                <a:ext cx="720" cy="3456"/>
              </a:xfrm>
              <a:prstGeom prst="parallelogram">
                <a:avLst>
                  <a:gd name="adj" fmla="val 62083"/>
                </a:avLst>
              </a:prstGeom>
              <a:solidFill>
                <a:srgbClr val="0000FF"/>
              </a:solidFill>
              <a:ln w="9525">
                <a:solidFill>
                  <a:srgbClr val="000000"/>
                </a:solidFill>
                <a:miter lim="800000"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  <xdr:sp macro="" textlink="">
            <xdr:nvSpPr>
              <xdr:cNvPr id="6158" name="Line 14"/>
              <xdr:cNvSpPr>
                <a:spLocks noChangeShapeType="1"/>
              </xdr:cNvSpPr>
            </xdr:nvSpPr>
            <xdr:spPr bwMode="auto">
              <a:xfrm flipH="1">
                <a:off x="3744" y="6048"/>
                <a:ext cx="432" cy="345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  <a:effectLst>
                <a:outerShdw dist="107763" dir="2700000" algn="ctr" rotWithShape="0">
                  <a:srgbClr val="808080"/>
                </a:outerShdw>
              </a:effectLst>
            </xdr:spPr>
          </xdr:sp>
        </xdr:grpSp>
        <xdr:sp macro="" textlink="">
          <xdr:nvSpPr>
            <xdr:cNvPr id="6159" name="AutoShape 15"/>
            <xdr:cNvSpPr>
              <a:spLocks noChangeArrowheads="1"/>
            </xdr:cNvSpPr>
          </xdr:nvSpPr>
          <xdr:spPr bwMode="auto">
            <a:xfrm rot="-2683678">
              <a:off x="4205" y="6035"/>
              <a:ext cx="1872" cy="1440"/>
            </a:xfrm>
            <a:prstGeom prst="parallelogram">
              <a:avLst>
                <a:gd name="adj" fmla="val 68539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  <xdr:sp macro="" textlink="">
          <xdr:nvSpPr>
            <xdr:cNvPr id="6160" name="AutoShape 16"/>
            <xdr:cNvSpPr>
              <a:spLocks noChangeArrowheads="1"/>
            </xdr:cNvSpPr>
          </xdr:nvSpPr>
          <xdr:spPr bwMode="auto">
            <a:xfrm rot="18916322" flipV="1">
              <a:off x="5409" y="6946"/>
              <a:ext cx="2304" cy="1872"/>
            </a:xfrm>
            <a:prstGeom prst="parallelogram">
              <a:avLst>
                <a:gd name="adj" fmla="val 71100"/>
              </a:avLst>
            </a:prstGeom>
            <a:solidFill>
              <a:srgbClr val="0000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/>
              </a:outerShdw>
            </a:effectLst>
          </xdr:spPr>
        </xdr:sp>
      </xdr:grp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kis-total@yandex.r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w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17.wmf"/><Relationship Id="rId5" Type="http://schemas.openxmlformats.org/officeDocument/2006/relationships/image" Target="../media/image14.w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16.w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53"/>
  <sheetViews>
    <sheetView showGridLines="0" tabSelected="1" zoomScale="120" workbookViewId="0">
      <selection activeCell="C38" sqref="C38"/>
    </sheetView>
  </sheetViews>
  <sheetFormatPr defaultRowHeight="12.75" x14ac:dyDescent="0.2"/>
  <cols>
    <col min="1" max="1" width="4.140625" customWidth="1"/>
    <col min="2" max="2" width="12.85546875" customWidth="1"/>
    <col min="3" max="3" width="9.85546875" customWidth="1"/>
    <col min="4" max="4" width="9.5703125" customWidth="1"/>
    <col min="5" max="5" width="10.42578125" customWidth="1"/>
    <col min="6" max="6" width="0.140625" hidden="1" customWidth="1"/>
    <col min="7" max="7" width="5.5703125" customWidth="1"/>
    <col min="8" max="9" width="6.140625" customWidth="1"/>
    <col min="10" max="10" width="9.140625" customWidth="1"/>
    <col min="11" max="15" width="6.140625" customWidth="1"/>
  </cols>
  <sheetData>
    <row r="1" spans="1:17" ht="9" customHeight="1" thickBot="1" x14ac:dyDescent="0.25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7" ht="13.5" thickTop="1" x14ac:dyDescent="0.2">
      <c r="A2" s="10"/>
      <c r="B2" s="329" t="s">
        <v>60</v>
      </c>
      <c r="C2" s="74" t="s">
        <v>43</v>
      </c>
      <c r="D2" s="75" t="s">
        <v>61</v>
      </c>
      <c r="E2" s="10"/>
      <c r="F2" s="10"/>
      <c r="G2" s="76" t="s">
        <v>72</v>
      </c>
      <c r="H2" s="317" t="s">
        <v>73</v>
      </c>
      <c r="I2" s="317" t="s">
        <v>74</v>
      </c>
      <c r="J2" s="317" t="s">
        <v>67</v>
      </c>
      <c r="K2" s="317" t="s">
        <v>75</v>
      </c>
      <c r="L2" s="317" t="s">
        <v>76</v>
      </c>
      <c r="M2" s="317" t="s">
        <v>77</v>
      </c>
      <c r="N2" s="317" t="s">
        <v>78</v>
      </c>
      <c r="O2" s="337" t="s">
        <v>79</v>
      </c>
      <c r="P2" s="10"/>
    </row>
    <row r="3" spans="1:17" x14ac:dyDescent="0.2">
      <c r="A3" s="10"/>
      <c r="B3" s="330"/>
      <c r="C3" s="339" t="s">
        <v>30</v>
      </c>
      <c r="D3" s="340"/>
      <c r="E3" s="10"/>
      <c r="F3" s="10"/>
      <c r="G3" s="77" t="s">
        <v>4</v>
      </c>
      <c r="H3" s="318"/>
      <c r="I3" s="318"/>
      <c r="J3" s="318"/>
      <c r="K3" s="318"/>
      <c r="L3" s="318"/>
      <c r="M3" s="318"/>
      <c r="N3" s="318"/>
      <c r="O3" s="338"/>
      <c r="P3" s="10"/>
    </row>
    <row r="4" spans="1:17" x14ac:dyDescent="0.2">
      <c r="A4" s="10"/>
      <c r="B4" s="304" t="s">
        <v>62</v>
      </c>
      <c r="C4" s="306">
        <v>0.25</v>
      </c>
      <c r="D4" s="307">
        <v>0.17799999999999999</v>
      </c>
      <c r="E4" s="10"/>
      <c r="F4" s="10"/>
      <c r="G4" s="77">
        <v>0</v>
      </c>
      <c r="H4" s="70">
        <f>H31/'Плотность газов'!$D$4</f>
        <v>0.19228843264897347</v>
      </c>
      <c r="I4" s="94"/>
      <c r="J4" s="70">
        <f>J31/'Плотность газов'!$F$4</f>
        <v>0.23978960396039606</v>
      </c>
      <c r="K4" s="70">
        <f>K31/'Плотность газов'!$G$4</f>
        <v>0.24790876957279723</v>
      </c>
      <c r="L4" s="70">
        <f>L31/'Плотность газов'!$H$4</f>
        <v>0.21834213933307675</v>
      </c>
      <c r="M4" s="70">
        <f>M31/'Плотность газов'!$I$4</f>
        <v>3.404539385847797</v>
      </c>
      <c r="N4" s="70">
        <f>N31/'Плотность газов'!$J$4</f>
        <v>0.5133928571428571</v>
      </c>
      <c r="O4" s="97"/>
      <c r="P4" s="10"/>
      <c r="Q4" s="93"/>
    </row>
    <row r="5" spans="1:17" x14ac:dyDescent="0.2">
      <c r="A5" s="10"/>
      <c r="B5" s="304" t="s">
        <v>63</v>
      </c>
      <c r="C5" s="306">
        <v>0.51600000000000001</v>
      </c>
      <c r="D5" s="307">
        <v>0.39100000000000001</v>
      </c>
      <c r="E5" s="10"/>
      <c r="F5" s="10"/>
      <c r="G5" s="77">
        <v>100</v>
      </c>
      <c r="H5" s="70">
        <f>H32/'Плотность газов'!$D$4</f>
        <v>0.20781171757636452</v>
      </c>
      <c r="I5" s="95"/>
      <c r="J5" s="70">
        <f>J32/'Плотность газов'!$F$4</f>
        <v>0.24056311881188119</v>
      </c>
      <c r="K5" s="70">
        <f>K32/'Плотность газов'!$G$4</f>
        <v>0.24870847528109657</v>
      </c>
      <c r="L5" s="70">
        <f>L32/'Плотность газов'!$H$4</f>
        <v>0.2197417684313657</v>
      </c>
      <c r="M5" s="70">
        <f>M32/'Плотность газов'!$I$4</f>
        <v>3.4379172229639519</v>
      </c>
      <c r="N5" s="70">
        <f>N32/'Плотность газов'!$J$4</f>
        <v>0.5385044642857143</v>
      </c>
      <c r="O5" s="98"/>
      <c r="P5" s="10"/>
      <c r="Q5" s="93"/>
    </row>
    <row r="6" spans="1:17" x14ac:dyDescent="0.2">
      <c r="A6" s="10"/>
      <c r="B6" s="304" t="s">
        <v>64</v>
      </c>
      <c r="C6" s="306">
        <v>0.125</v>
      </c>
      <c r="D6" s="307">
        <v>7.46E-2</v>
      </c>
      <c r="E6" s="10"/>
      <c r="F6" s="10"/>
      <c r="G6" s="77">
        <f>G5+100</f>
        <v>200</v>
      </c>
      <c r="H6" s="70">
        <f>H33/'Плотность газов'!$D$4</f>
        <v>0.21582373560340509</v>
      </c>
      <c r="I6" s="95"/>
      <c r="J6" s="70">
        <f>J33/'Плотность газов'!$F$4</f>
        <v>0.24211014851485149</v>
      </c>
      <c r="K6" s="70">
        <f>K33/'Плотность газов'!$G$4</f>
        <v>0.24950818098939592</v>
      </c>
      <c r="L6" s="70">
        <f>L33/'Плотность газов'!$H$4</f>
        <v>0.22324084117708809</v>
      </c>
      <c r="M6" s="70">
        <f>M33/'Плотность газов'!$I$4</f>
        <v>3.4490431686693368</v>
      </c>
      <c r="N6" s="70">
        <f>N33/'Плотность газов'!$J$4</f>
        <v>0.5845424107142857</v>
      </c>
      <c r="O6" s="98"/>
      <c r="P6" s="10"/>
      <c r="Q6" s="93"/>
    </row>
    <row r="7" spans="1:17" x14ac:dyDescent="0.2">
      <c r="A7" s="10"/>
      <c r="B7" s="304" t="s">
        <v>65</v>
      </c>
      <c r="C7" s="306">
        <v>0.40100000000000002</v>
      </c>
      <c r="D7" s="307">
        <v>0.32300000000000001</v>
      </c>
      <c r="E7" s="10"/>
      <c r="F7" s="10"/>
      <c r="G7" s="77">
        <f t="shared" ref="G7:G24" si="0">G6+100</f>
        <v>300</v>
      </c>
      <c r="H7" s="70">
        <f>H34/'Плотность газов'!$D$4</f>
        <v>0.22483725588382572</v>
      </c>
      <c r="I7" s="95"/>
      <c r="J7" s="70">
        <f>J34/'Плотность газов'!$F$4</f>
        <v>0.24365717821782179</v>
      </c>
      <c r="K7" s="70">
        <f>K34/'Плотность газов'!$G$4</f>
        <v>0.25110759240599462</v>
      </c>
      <c r="L7" s="70">
        <f>L34/'Плотность газов'!$H$4</f>
        <v>0.22673991392281048</v>
      </c>
      <c r="M7" s="70">
        <f>M34/'Плотность газов'!$I$4</f>
        <v>3.4601691143747217</v>
      </c>
      <c r="N7" s="70">
        <f>N34/'Плотность газов'!$J$4</f>
        <v>0.6291852678571429</v>
      </c>
      <c r="O7" s="98"/>
      <c r="P7" s="10"/>
      <c r="Q7" s="93"/>
    </row>
    <row r="8" spans="1:17" x14ac:dyDescent="0.2">
      <c r="A8" s="10"/>
      <c r="B8" s="304" t="s">
        <v>66</v>
      </c>
      <c r="C8" s="306">
        <v>3.4079999999999999</v>
      </c>
      <c r="D8" s="307">
        <v>2.42</v>
      </c>
      <c r="E8" s="10"/>
      <c r="F8" s="10"/>
      <c r="G8" s="77">
        <f t="shared" si="0"/>
        <v>400</v>
      </c>
      <c r="H8" s="70">
        <f>H35/'Плотность газов'!$D$4</f>
        <v>0.23234852278417625</v>
      </c>
      <c r="I8" s="95"/>
      <c r="J8" s="70">
        <f>J35/'Плотность газов'!$F$4</f>
        <v>0.24597772277227725</v>
      </c>
      <c r="K8" s="70">
        <f>K35/'Плотность газов'!$G$4</f>
        <v>0.25270700382259331</v>
      </c>
      <c r="L8" s="70">
        <f>L35/'Плотность газов'!$H$4</f>
        <v>0.23023898666853285</v>
      </c>
      <c r="M8" s="70">
        <f>M35/'Плотность газов'!$I$4</f>
        <v>3.4601691143747217</v>
      </c>
      <c r="N8" s="70">
        <f>N35/'Плотность газов'!$J$4</f>
        <v>0.6696428571428571</v>
      </c>
      <c r="O8" s="98"/>
      <c r="P8" s="10"/>
      <c r="Q8" s="93"/>
    </row>
    <row r="9" spans="1:17" x14ac:dyDescent="0.2">
      <c r="A9" s="10"/>
      <c r="B9" s="304" t="s">
        <v>67</v>
      </c>
      <c r="C9" s="306">
        <v>0.24099999999999999</v>
      </c>
      <c r="D9" s="307">
        <v>0.17199999999999999</v>
      </c>
      <c r="E9" s="10"/>
      <c r="F9" s="10"/>
      <c r="G9" s="77">
        <f t="shared" si="0"/>
        <v>500</v>
      </c>
      <c r="H9" s="70">
        <f>H36/'Плотность газов'!$D$4</f>
        <v>0.2403605408112168</v>
      </c>
      <c r="I9" s="95"/>
      <c r="J9" s="70">
        <f>J36/'Плотность газов'!$F$4</f>
        <v>0.24829826732673269</v>
      </c>
      <c r="K9" s="70">
        <f>K36/'Плотность газов'!$G$4</f>
        <v>0.25510612094749135</v>
      </c>
      <c r="L9" s="70">
        <f>L36/'Плотность газов'!$H$4</f>
        <v>0.23373805941425524</v>
      </c>
      <c r="M9" s="70">
        <f>M36/'Плотность газов'!$I$4</f>
        <v>3.4712950600801067</v>
      </c>
      <c r="N9" s="70">
        <f>N36/'Плотность газов'!$J$4</f>
        <v>0.7101004464285714</v>
      </c>
      <c r="O9" s="98"/>
      <c r="P9" s="10"/>
      <c r="Q9" s="93"/>
    </row>
    <row r="10" spans="1:17" x14ac:dyDescent="0.2">
      <c r="A10" s="10"/>
      <c r="B10" s="304" t="s">
        <v>68</v>
      </c>
      <c r="C10" s="306">
        <v>1.26</v>
      </c>
      <c r="D10" s="307">
        <v>0.76</v>
      </c>
      <c r="E10" s="10"/>
      <c r="F10" s="10"/>
      <c r="G10" s="77">
        <f t="shared" si="0"/>
        <v>600</v>
      </c>
      <c r="H10" s="70">
        <f>H37/'Плотность газов'!$D$4</f>
        <v>0.24636955433149724</v>
      </c>
      <c r="I10" s="95"/>
      <c r="J10" s="70">
        <f>J37/'Плотность газов'!$F$4</f>
        <v>0.25061881188118812</v>
      </c>
      <c r="K10" s="70">
        <f>K37/'Плотность газов'!$G$4</f>
        <v>0.2575052380723894</v>
      </c>
      <c r="L10" s="70">
        <f>L37/'Плотность газов'!$H$4</f>
        <v>0.23653731761083316</v>
      </c>
      <c r="M10" s="70">
        <f>M37/'Плотность газов'!$I$4</f>
        <v>3.4824210057854916</v>
      </c>
      <c r="N10" s="70">
        <f>N37/'Плотность газов'!$J$4</f>
        <v>0.74916294642857151</v>
      </c>
      <c r="O10" s="98"/>
      <c r="P10" s="10"/>
      <c r="Q10" s="93"/>
    </row>
    <row r="11" spans="1:17" x14ac:dyDescent="0.2">
      <c r="A11" s="10"/>
      <c r="B11" s="304" t="s">
        <v>69</v>
      </c>
      <c r="C11" s="306">
        <v>0.218</v>
      </c>
      <c r="D11" s="307">
        <v>0.156</v>
      </c>
      <c r="E11" s="10"/>
      <c r="F11" s="10"/>
      <c r="G11" s="77">
        <f t="shared" si="0"/>
        <v>700</v>
      </c>
      <c r="H11" s="70">
        <f>H38/'Плотность газов'!$D$4</f>
        <v>0.25187781672508763</v>
      </c>
      <c r="I11" s="95"/>
      <c r="J11" s="70">
        <f>J38/'Плотность газов'!$F$4</f>
        <v>0.25371287128712872</v>
      </c>
      <c r="K11" s="70">
        <f>K38/'Плотность газов'!$G$4</f>
        <v>0.25910464948898809</v>
      </c>
      <c r="L11" s="70">
        <f>L38/'Плотность газов'!$H$4</f>
        <v>0.24003639035655555</v>
      </c>
      <c r="M11" s="70">
        <f>M38/'Плотность газов'!$I$4</f>
        <v>3.4935469514908766</v>
      </c>
      <c r="N11" s="70">
        <f>N38/'Плотность газов'!$J$4</f>
        <v>0.78543526785714279</v>
      </c>
      <c r="O11" s="98"/>
      <c r="P11" s="10"/>
      <c r="Q11" s="93"/>
    </row>
    <row r="12" spans="1:17" x14ac:dyDescent="0.2">
      <c r="A12" s="10"/>
      <c r="B12" s="304" t="s">
        <v>70</v>
      </c>
      <c r="C12" s="306">
        <v>0.53200000000000003</v>
      </c>
      <c r="D12" s="307">
        <v>0.40400000000000003</v>
      </c>
      <c r="E12" s="10"/>
      <c r="F12" s="10"/>
      <c r="G12" s="77">
        <f t="shared" si="0"/>
        <v>800</v>
      </c>
      <c r="H12" s="70">
        <f>H39/'Плотность газов'!$D$4</f>
        <v>0.25688532799198799</v>
      </c>
      <c r="I12" s="95"/>
      <c r="J12" s="70">
        <f>J39/'Плотность газов'!$F$4</f>
        <v>0.25603341584158418</v>
      </c>
      <c r="K12" s="70">
        <f>K39/'Плотность газов'!$G$4</f>
        <v>0.26150376661388613</v>
      </c>
      <c r="L12" s="70">
        <f>L39/'Плотность газов'!$H$4</f>
        <v>0.24283564855313342</v>
      </c>
      <c r="M12" s="70">
        <f>M39/'Плотность газов'!$I$4</f>
        <v>3.5046728971962615</v>
      </c>
      <c r="N12" s="70">
        <f>N39/'Плотность газов'!$J$4</f>
        <v>0.8203125</v>
      </c>
      <c r="O12" s="98"/>
      <c r="P12" s="10"/>
      <c r="Q12" s="93"/>
    </row>
    <row r="13" spans="1:17" ht="13.5" thickBot="1" x14ac:dyDescent="0.25">
      <c r="A13" s="10"/>
      <c r="B13" s="305" t="s">
        <v>688</v>
      </c>
      <c r="C13" s="308">
        <v>0.20399999999999999</v>
      </c>
      <c r="D13" s="309">
        <v>0.155</v>
      </c>
      <c r="E13" s="10"/>
      <c r="F13" s="10"/>
      <c r="G13" s="77">
        <f t="shared" si="0"/>
        <v>900</v>
      </c>
      <c r="H13" s="70">
        <f>H40/'Плотность газов'!$D$4</f>
        <v>0.26139208813219827</v>
      </c>
      <c r="I13" s="95"/>
      <c r="J13" s="70">
        <f>J40/'Плотность газов'!$F$4</f>
        <v>0.25835396039603964</v>
      </c>
      <c r="K13" s="70">
        <f>K40/'Плотность газов'!$G$4</f>
        <v>0.26470258944708352</v>
      </c>
      <c r="L13" s="70">
        <f>L40/'Плотность газов'!$H$4</f>
        <v>0.24493509220056683</v>
      </c>
      <c r="M13" s="70">
        <f>M40/'Плотность газов'!$I$4</f>
        <v>3.5157988429016465</v>
      </c>
      <c r="N13" s="70">
        <f>N40/'Плотность газов'!$J$4</f>
        <v>0.8510044642857143</v>
      </c>
      <c r="O13" s="98"/>
      <c r="P13" s="10"/>
      <c r="Q13" s="93"/>
    </row>
    <row r="14" spans="1:17" ht="13.5" thickTop="1" x14ac:dyDescent="0.2">
      <c r="A14" s="10"/>
      <c r="B14" s="10"/>
      <c r="C14" s="10"/>
      <c r="D14" s="10"/>
      <c r="E14" s="10"/>
      <c r="F14" s="10"/>
      <c r="G14" s="77">
        <f t="shared" si="0"/>
        <v>1000</v>
      </c>
      <c r="H14" s="70">
        <f>H41/'Плотность газов'!$D$4</f>
        <v>0.2653980971457186</v>
      </c>
      <c r="I14" s="95"/>
      <c r="J14" s="70">
        <f>J41/'Плотность газов'!$F$4</f>
        <v>0.2606745049504951</v>
      </c>
      <c r="K14" s="70">
        <f>K41/'Плотность газов'!$G$4</f>
        <v>0.26710170657198157</v>
      </c>
      <c r="L14" s="70">
        <f>L41/'Плотность газов'!$H$4</f>
        <v>0.24703453584800028</v>
      </c>
      <c r="M14" s="70">
        <f>M41/'Плотность газов'!$I$4</f>
        <v>3.5380507343124163</v>
      </c>
      <c r="N14" s="70">
        <f>N41/'Плотность газов'!$J$4</f>
        <v>0.8816964285714286</v>
      </c>
      <c r="O14" s="99"/>
      <c r="P14" s="10"/>
      <c r="Q14" s="93"/>
    </row>
    <row r="15" spans="1:17" x14ac:dyDescent="0.2">
      <c r="A15" s="10"/>
      <c r="B15" s="10"/>
      <c r="C15" s="10"/>
      <c r="D15" s="10"/>
      <c r="E15" s="10"/>
      <c r="F15" s="10"/>
      <c r="G15" s="77">
        <f t="shared" si="0"/>
        <v>1100</v>
      </c>
      <c r="H15" s="70">
        <f>H42/'Плотность газов'!$D$4</f>
        <v>0.26940410615923888</v>
      </c>
      <c r="I15" s="95"/>
      <c r="J15" s="70">
        <f>J42/'Плотность газов'!$F$4</f>
        <v>0.26299504950495051</v>
      </c>
      <c r="K15" s="70">
        <f>K42/'Плотность газов'!$G$4</f>
        <v>0.26950082369687961</v>
      </c>
      <c r="L15" s="70">
        <f>L42/'Плотность газов'!$H$4</f>
        <v>0.2491339794954337</v>
      </c>
      <c r="M15" s="70">
        <f>M42/'Плотность газов'!$I$4</f>
        <v>3.5491766800178017</v>
      </c>
      <c r="N15" s="70"/>
      <c r="O15" s="71"/>
      <c r="P15" s="10"/>
      <c r="Q15" s="93"/>
    </row>
    <row r="16" spans="1:17" x14ac:dyDescent="0.2">
      <c r="A16" s="10"/>
      <c r="B16" s="10"/>
      <c r="C16" s="10"/>
      <c r="D16" s="10"/>
      <c r="E16" s="10"/>
      <c r="F16" s="10"/>
      <c r="G16" s="77">
        <f t="shared" si="0"/>
        <v>1200</v>
      </c>
      <c r="H16" s="70">
        <f>H43/'Плотность газов'!$D$4</f>
        <v>0.27240861291937907</v>
      </c>
      <c r="I16" s="95"/>
      <c r="J16" s="70">
        <f>J43/'Плотность газов'!$F$4</f>
        <v>0.26531559405940597</v>
      </c>
      <c r="K16" s="70">
        <f>K43/'Плотность газов'!$G$4</f>
        <v>0.27189994082177765</v>
      </c>
      <c r="L16" s="70">
        <f>L43/'Плотность газов'!$H$4</f>
        <v>0.25123342314286712</v>
      </c>
      <c r="M16" s="70">
        <f>M43/'Плотность газов'!$I$4</f>
        <v>3.5714285714285716</v>
      </c>
      <c r="N16" s="331" t="s">
        <v>87</v>
      </c>
      <c r="O16" s="332"/>
      <c r="P16" s="10"/>
      <c r="Q16" s="93"/>
    </row>
    <row r="17" spans="1:17" x14ac:dyDescent="0.2">
      <c r="A17" s="10"/>
      <c r="B17" s="10"/>
      <c r="C17" s="10"/>
      <c r="D17" s="10"/>
      <c r="E17" s="10"/>
      <c r="F17" s="10"/>
      <c r="G17" s="77">
        <f t="shared" si="0"/>
        <v>1300</v>
      </c>
      <c r="H17" s="70">
        <f>H44/'Плотность газов'!$D$4</f>
        <v>0.27541311967951931</v>
      </c>
      <c r="I17" s="95"/>
      <c r="J17" s="70">
        <f>J44/'Плотность газов'!$F$4</f>
        <v>0.26686262376237624</v>
      </c>
      <c r="K17" s="70">
        <f>K44/'Плотность газов'!$G$4</f>
        <v>0.27349935223837629</v>
      </c>
      <c r="L17" s="70">
        <f>L44/'Плотность газов'!$H$4</f>
        <v>0.25333286679030059</v>
      </c>
      <c r="M17" s="70">
        <f>M44/'Плотность газов'!$I$4</f>
        <v>3.5936804628393415</v>
      </c>
      <c r="N17" s="333"/>
      <c r="O17" s="334"/>
      <c r="P17" s="10"/>
      <c r="Q17" s="93"/>
    </row>
    <row r="18" spans="1:17" x14ac:dyDescent="0.2">
      <c r="A18" s="10"/>
      <c r="B18" s="10"/>
      <c r="C18" s="10"/>
      <c r="D18" s="10"/>
      <c r="E18" s="10"/>
      <c r="F18" s="10"/>
      <c r="G18" s="77">
        <f t="shared" si="0"/>
        <v>1400</v>
      </c>
      <c r="H18" s="70">
        <f>H45/'Плотность газов'!$D$4</f>
        <v>0.2784176264396595</v>
      </c>
      <c r="I18" s="95"/>
      <c r="J18" s="70">
        <f>J45/'Плотность газов'!$F$4</f>
        <v>0.26840965346534651</v>
      </c>
      <c r="K18" s="70">
        <f>K45/'Плотность газов'!$G$4</f>
        <v>0.27589846936327433</v>
      </c>
      <c r="L18" s="70">
        <f>L45/'Плотность газов'!$H$4</f>
        <v>0.25473249588858954</v>
      </c>
      <c r="M18" s="70">
        <f>M45/'Плотность газов'!$I$4</f>
        <v>3.6159323542501114</v>
      </c>
      <c r="N18" s="335"/>
      <c r="O18" s="336"/>
      <c r="P18" s="10"/>
      <c r="Q18" s="93"/>
    </row>
    <row r="19" spans="1:17" x14ac:dyDescent="0.2">
      <c r="A19" s="10"/>
      <c r="B19" s="10"/>
      <c r="C19" s="10"/>
      <c r="D19" s="10"/>
      <c r="E19" s="10"/>
      <c r="F19" s="10"/>
      <c r="G19" s="77">
        <f t="shared" si="0"/>
        <v>1500</v>
      </c>
      <c r="H19" s="70">
        <f>H46/'Плотность газов'!$D$4</f>
        <v>0.28092138207310968</v>
      </c>
      <c r="I19" s="95"/>
      <c r="J19" s="70">
        <f>J46/'Плотность газов'!$F$4</f>
        <v>0.27073019801980197</v>
      </c>
      <c r="K19" s="70">
        <f>K46/'Плотность газов'!$G$4</f>
        <v>0.27749788077987303</v>
      </c>
      <c r="L19" s="70">
        <f>L46/'Плотность газов'!$H$4</f>
        <v>0.25613212498687848</v>
      </c>
      <c r="M19" s="70">
        <f>M46/'Плотность газов'!$I$4</f>
        <v>3.6381842456608813</v>
      </c>
      <c r="N19" s="70"/>
      <c r="O19" s="71"/>
      <c r="P19" s="10"/>
      <c r="Q19" s="93"/>
    </row>
    <row r="20" spans="1:17" x14ac:dyDescent="0.2">
      <c r="A20" s="10"/>
      <c r="B20" s="10"/>
      <c r="C20" s="10"/>
      <c r="D20" s="10"/>
      <c r="E20" s="10"/>
      <c r="F20" s="10"/>
      <c r="G20" s="77">
        <f t="shared" si="0"/>
        <v>1600</v>
      </c>
      <c r="H20" s="70">
        <f>H47/'Плотность газов'!$D$4</f>
        <v>0.28292438657986974</v>
      </c>
      <c r="I20" s="95"/>
      <c r="J20" s="70">
        <f>J47/'Плотность газов'!$F$4</f>
        <v>0.2722772277227723</v>
      </c>
      <c r="K20" s="70">
        <f>K47/'Плотность газов'!$G$4</f>
        <v>0.27909729219647172</v>
      </c>
      <c r="L20" s="70">
        <f>L47/'Плотность газов'!$H$4</f>
        <v>0.25753175408516743</v>
      </c>
      <c r="M20" s="70">
        <f>M47/'Плотность газов'!$I$4</f>
        <v>3.6493101913662662</v>
      </c>
      <c r="N20" s="70"/>
      <c r="O20" s="71"/>
      <c r="P20" s="10"/>
      <c r="Q20" s="93"/>
    </row>
    <row r="21" spans="1:17" x14ac:dyDescent="0.2">
      <c r="A21" s="10"/>
      <c r="B21" s="10"/>
      <c r="C21" s="10"/>
      <c r="D21" s="10"/>
      <c r="E21" s="10"/>
      <c r="F21" s="10"/>
      <c r="G21" s="77">
        <f t="shared" si="0"/>
        <v>1700</v>
      </c>
      <c r="H21" s="70">
        <f>H48/'Плотность газов'!$D$4</f>
        <v>0.2849273910866299</v>
      </c>
      <c r="I21" s="95"/>
      <c r="J21" s="70">
        <f>J48/'Плотность газов'!$F$4</f>
        <v>0.27382425742574257</v>
      </c>
      <c r="K21" s="70">
        <f>K48/'Плотность газов'!$G$4</f>
        <v>0.28069670361307042</v>
      </c>
      <c r="L21" s="70">
        <f>L48/'Плотность газов'!$H$4</f>
        <v>0.25893138318345638</v>
      </c>
      <c r="M21" s="70">
        <f>M48/'Плотность газов'!$I$4</f>
        <v>3.6715620827770361</v>
      </c>
      <c r="N21" s="70"/>
      <c r="O21" s="71"/>
      <c r="P21" s="10"/>
      <c r="Q21" s="93"/>
    </row>
    <row r="22" spans="1:17" x14ac:dyDescent="0.2">
      <c r="A22" s="10"/>
      <c r="B22" s="10"/>
      <c r="C22" s="10"/>
      <c r="D22" s="10"/>
      <c r="E22" s="10"/>
      <c r="F22" s="10"/>
      <c r="G22" s="77">
        <f t="shared" si="0"/>
        <v>1800</v>
      </c>
      <c r="H22" s="70">
        <f>H49/'Плотность газов'!$D$4</f>
        <v>0.28693039559339006</v>
      </c>
      <c r="I22" s="95"/>
      <c r="J22" s="70">
        <f>J49/'Плотность газов'!$F$4</f>
        <v>0.2745977722772277</v>
      </c>
      <c r="K22" s="70">
        <f>K49/'Плотность газов'!$G$4</f>
        <v>0.28229611502966911</v>
      </c>
      <c r="L22" s="70">
        <f>L49/'Плотность газов'!$H$4</f>
        <v>0.26033101228174532</v>
      </c>
      <c r="M22" s="70">
        <f>M49/'Плотность газов'!$I$4</f>
        <v>3.693813974187806</v>
      </c>
      <c r="N22" s="70"/>
      <c r="O22" s="71"/>
      <c r="P22" s="10"/>
      <c r="Q22" s="93"/>
    </row>
    <row r="23" spans="1:17" x14ac:dyDescent="0.2">
      <c r="A23" s="10"/>
      <c r="B23" s="10"/>
      <c r="C23" s="10"/>
      <c r="D23" s="10"/>
      <c r="E23" s="10"/>
      <c r="F23" s="10"/>
      <c r="G23" s="77">
        <f t="shared" si="0"/>
        <v>1900</v>
      </c>
      <c r="H23" s="94">
        <f>H50/'Плотность газов'!$D$4</f>
        <v>0.28893340010015017</v>
      </c>
      <c r="I23" s="95"/>
      <c r="J23" s="94">
        <f>J50/'Плотность газов'!$F$4</f>
        <v>0.27614480198019803</v>
      </c>
      <c r="K23" s="94">
        <f>K50/'Плотность газов'!$G$4</f>
        <v>0.28309582073796841</v>
      </c>
      <c r="L23" s="94">
        <f>L50/'Плотность газов'!$H$4</f>
        <v>0.26173064138003432</v>
      </c>
      <c r="M23" s="94">
        <f>M50/'Плотность газов'!$I$4</f>
        <v>3.7160658655985759</v>
      </c>
      <c r="N23" s="70"/>
      <c r="O23" s="71"/>
      <c r="P23" s="10"/>
      <c r="Q23" s="93"/>
    </row>
    <row r="24" spans="1:17" ht="13.5" thickBot="1" x14ac:dyDescent="0.25">
      <c r="A24" s="10"/>
      <c r="B24" s="10"/>
      <c r="C24" s="10"/>
      <c r="D24" s="10"/>
      <c r="E24" s="10"/>
      <c r="F24" s="10"/>
      <c r="G24" s="78">
        <f t="shared" si="0"/>
        <v>2000</v>
      </c>
      <c r="H24" s="72">
        <f>H51/'Плотность газов'!$D$4</f>
        <v>0.29644466700050071</v>
      </c>
      <c r="I24" s="96"/>
      <c r="J24" s="72">
        <f>J51/'Плотность газов'!$F$4</f>
        <v>0.27691831683168316</v>
      </c>
      <c r="K24" s="72">
        <f>K51/'Плотность газов'!$G$4</f>
        <v>0.2846952321545671</v>
      </c>
      <c r="L24" s="72">
        <f>L51/'Плотность газов'!$H$4</f>
        <v>0.26313027047832327</v>
      </c>
      <c r="M24" s="72">
        <f>M51/'Плотность газов'!$I$4</f>
        <v>3.7383177570093458</v>
      </c>
      <c r="N24" s="72"/>
      <c r="O24" s="73"/>
      <c r="P24" s="10"/>
      <c r="Q24" s="93"/>
    </row>
    <row r="25" spans="1:17" ht="13.5" thickTop="1" x14ac:dyDescent="0.2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</row>
    <row r="26" spans="1:17" x14ac:dyDescent="0.2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</row>
    <row r="27" spans="1:17" x14ac:dyDescent="0.2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</row>
    <row r="28" spans="1:17" ht="13.5" thickBo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</row>
    <row r="29" spans="1:17" ht="13.5" thickTop="1" x14ac:dyDescent="0.2">
      <c r="A29" s="10"/>
      <c r="B29" s="10"/>
      <c r="C29" s="10"/>
      <c r="D29" s="10"/>
      <c r="E29" s="10"/>
      <c r="F29" s="10"/>
      <c r="G29" s="90" t="s">
        <v>72</v>
      </c>
      <c r="H29" s="319" t="s">
        <v>73</v>
      </c>
      <c r="I29" s="319" t="s">
        <v>74</v>
      </c>
      <c r="J29" s="319" t="s">
        <v>67</v>
      </c>
      <c r="K29" s="319" t="s">
        <v>75</v>
      </c>
      <c r="L29" s="319" t="s">
        <v>76</v>
      </c>
      <c r="M29" s="319" t="s">
        <v>77</v>
      </c>
      <c r="N29" s="319" t="s">
        <v>78</v>
      </c>
      <c r="O29" s="321" t="s">
        <v>79</v>
      </c>
      <c r="P29" s="10"/>
    </row>
    <row r="30" spans="1:17" x14ac:dyDescent="0.2">
      <c r="A30" s="10"/>
      <c r="B30" s="10"/>
      <c r="C30" s="10"/>
      <c r="D30" s="10"/>
      <c r="E30" s="10"/>
      <c r="F30" s="10"/>
      <c r="G30" s="91" t="s">
        <v>4</v>
      </c>
      <c r="H30" s="320"/>
      <c r="I30" s="320"/>
      <c r="J30" s="320"/>
      <c r="K30" s="320"/>
      <c r="L30" s="320"/>
      <c r="M30" s="320"/>
      <c r="N30" s="320"/>
      <c r="O30" s="322"/>
      <c r="P30" s="10"/>
    </row>
    <row r="31" spans="1:17" x14ac:dyDescent="0.2">
      <c r="A31" s="10"/>
      <c r="B31" s="10"/>
      <c r="C31" s="10"/>
      <c r="D31" s="10"/>
      <c r="E31" s="10"/>
      <c r="F31" s="10"/>
      <c r="G31" s="91">
        <v>0</v>
      </c>
      <c r="H31" s="70">
        <v>0.38400000000000001</v>
      </c>
      <c r="I31" s="70">
        <v>0.35599999999999998</v>
      </c>
      <c r="J31" s="70">
        <v>0.31</v>
      </c>
      <c r="K31" s="70">
        <v>0.31</v>
      </c>
      <c r="L31" s="70">
        <v>0.312</v>
      </c>
      <c r="M31" s="70">
        <v>0.30599999999999999</v>
      </c>
      <c r="N31" s="70">
        <v>0.36799999999999999</v>
      </c>
      <c r="O31" s="71">
        <v>0.44700000000000001</v>
      </c>
      <c r="P31" s="10"/>
    </row>
    <row r="32" spans="1:17" x14ac:dyDescent="0.2">
      <c r="A32" s="10"/>
      <c r="B32" s="10"/>
      <c r="C32" s="10"/>
      <c r="D32" s="10"/>
      <c r="E32" s="10"/>
      <c r="F32" s="10"/>
      <c r="G32" s="91">
        <v>100</v>
      </c>
      <c r="H32" s="70">
        <v>0.41499999999999998</v>
      </c>
      <c r="I32" s="70">
        <v>0.35799999999999998</v>
      </c>
      <c r="J32" s="70">
        <v>0.311</v>
      </c>
      <c r="K32" s="70">
        <v>0.311</v>
      </c>
      <c r="L32" s="70">
        <v>0.314</v>
      </c>
      <c r="M32" s="70">
        <v>0.309</v>
      </c>
      <c r="N32" s="70">
        <v>0.38600000000000001</v>
      </c>
      <c r="O32" s="71">
        <v>0.503</v>
      </c>
      <c r="P32" s="10"/>
    </row>
    <row r="33" spans="1:16" x14ac:dyDescent="0.2">
      <c r="A33" s="10"/>
      <c r="B33" s="10"/>
      <c r="C33" s="10"/>
      <c r="D33" s="10"/>
      <c r="E33" s="10"/>
      <c r="F33" s="10"/>
      <c r="G33" s="91">
        <f>G32+100</f>
        <v>200</v>
      </c>
      <c r="H33" s="70">
        <v>0.43099999999999999</v>
      </c>
      <c r="I33" s="70">
        <v>0.36199999999999999</v>
      </c>
      <c r="J33" s="70">
        <v>0.313</v>
      </c>
      <c r="K33" s="70">
        <v>0.312</v>
      </c>
      <c r="L33" s="70">
        <v>0.31900000000000001</v>
      </c>
      <c r="M33" s="70">
        <v>0.31</v>
      </c>
      <c r="N33" s="70">
        <v>0.41899999999999998</v>
      </c>
      <c r="O33" s="71">
        <v>0.55600000000000005</v>
      </c>
      <c r="P33" s="10"/>
    </row>
    <row r="34" spans="1:16" x14ac:dyDescent="0.2">
      <c r="A34" s="10"/>
      <c r="B34" s="10"/>
      <c r="C34" s="10"/>
      <c r="D34" s="10"/>
      <c r="E34" s="10"/>
      <c r="F34" s="10"/>
      <c r="G34" s="91">
        <f t="shared" ref="G34:G51" si="1">G33+100</f>
        <v>300</v>
      </c>
      <c r="H34" s="70">
        <v>0.44900000000000001</v>
      </c>
      <c r="I34" s="70">
        <v>0.36699999999999999</v>
      </c>
      <c r="J34" s="70">
        <v>0.315</v>
      </c>
      <c r="K34" s="70">
        <v>0.314</v>
      </c>
      <c r="L34" s="70">
        <v>0.32400000000000001</v>
      </c>
      <c r="M34" s="70">
        <v>0.311</v>
      </c>
      <c r="N34" s="70">
        <v>0.45100000000000001</v>
      </c>
      <c r="O34" s="71">
        <v>0.60499999999999998</v>
      </c>
      <c r="P34" s="10"/>
    </row>
    <row r="35" spans="1:16" x14ac:dyDescent="0.2">
      <c r="A35" s="10"/>
      <c r="B35" s="10"/>
      <c r="C35" s="10"/>
      <c r="D35" s="10"/>
      <c r="E35" s="10"/>
      <c r="F35" s="10"/>
      <c r="G35" s="91">
        <f t="shared" si="1"/>
        <v>400</v>
      </c>
      <c r="H35" s="70">
        <v>0.46400000000000002</v>
      </c>
      <c r="I35" s="70">
        <v>0.372</v>
      </c>
      <c r="J35" s="70">
        <v>0.318</v>
      </c>
      <c r="K35" s="70">
        <v>0.316</v>
      </c>
      <c r="L35" s="70">
        <v>0.32900000000000001</v>
      </c>
      <c r="M35" s="70">
        <v>0.311</v>
      </c>
      <c r="N35" s="70">
        <v>0.48</v>
      </c>
      <c r="O35" s="71">
        <v>0.65</v>
      </c>
      <c r="P35" s="10"/>
    </row>
    <row r="36" spans="1:16" x14ac:dyDescent="0.2">
      <c r="A36" s="10"/>
      <c r="B36" s="10" t="s">
        <v>695</v>
      </c>
      <c r="C36" s="10" t="s">
        <v>696</v>
      </c>
      <c r="D36" s="10"/>
      <c r="E36" s="10"/>
      <c r="F36" s="10"/>
      <c r="G36" s="91">
        <f t="shared" si="1"/>
        <v>500</v>
      </c>
      <c r="H36" s="70">
        <v>0.48</v>
      </c>
      <c r="I36" s="70">
        <v>0.378</v>
      </c>
      <c r="J36" s="70">
        <v>0.32100000000000001</v>
      </c>
      <c r="K36" s="70">
        <v>0.31900000000000001</v>
      </c>
      <c r="L36" s="70">
        <v>0.33400000000000002</v>
      </c>
      <c r="M36" s="70">
        <v>0.312</v>
      </c>
      <c r="N36" s="70">
        <v>0.50900000000000001</v>
      </c>
      <c r="O36" s="71">
        <v>0.69099999999999995</v>
      </c>
      <c r="P36" s="10"/>
    </row>
    <row r="37" spans="1:16" x14ac:dyDescent="0.2">
      <c r="A37" s="10"/>
      <c r="B37" s="10"/>
      <c r="C37" s="504" t="s">
        <v>697</v>
      </c>
      <c r="D37" s="10"/>
      <c r="E37" s="10"/>
      <c r="F37" s="10"/>
      <c r="G37" s="91">
        <f t="shared" si="1"/>
        <v>600</v>
      </c>
      <c r="H37" s="70">
        <v>0.49199999999999999</v>
      </c>
      <c r="I37" s="70">
        <v>0.38400000000000001</v>
      </c>
      <c r="J37" s="70">
        <v>0.32400000000000001</v>
      </c>
      <c r="K37" s="70">
        <v>0.32200000000000001</v>
      </c>
      <c r="L37" s="70">
        <v>0.33800000000000002</v>
      </c>
      <c r="M37" s="70">
        <v>0.313</v>
      </c>
      <c r="N37" s="70">
        <v>0.53700000000000003</v>
      </c>
      <c r="O37" s="71">
        <v>0.72899999999999998</v>
      </c>
      <c r="P37" s="10"/>
    </row>
    <row r="38" spans="1:16" x14ac:dyDescent="0.2">
      <c r="A38" s="10"/>
      <c r="B38" s="10"/>
      <c r="C38" s="10"/>
      <c r="D38" s="10"/>
      <c r="E38" s="10"/>
      <c r="F38" s="10"/>
      <c r="G38" s="91">
        <f t="shared" si="1"/>
        <v>700</v>
      </c>
      <c r="H38" s="70">
        <v>0.503</v>
      </c>
      <c r="I38" s="70">
        <v>0.39</v>
      </c>
      <c r="J38" s="70">
        <v>0.32800000000000001</v>
      </c>
      <c r="K38" s="70">
        <v>0.32400000000000001</v>
      </c>
      <c r="L38" s="70">
        <v>0.34300000000000003</v>
      </c>
      <c r="M38" s="70">
        <v>0.314</v>
      </c>
      <c r="N38" s="70">
        <v>0.56299999999999994</v>
      </c>
      <c r="O38" s="71">
        <v>0.76200000000000001</v>
      </c>
      <c r="P38" s="10"/>
    </row>
    <row r="39" spans="1:16" x14ac:dyDescent="0.2">
      <c r="A39" s="10"/>
      <c r="B39" s="10"/>
      <c r="C39" s="10"/>
      <c r="D39" s="10"/>
      <c r="E39" s="10"/>
      <c r="F39" s="10"/>
      <c r="G39" s="91">
        <f t="shared" si="1"/>
        <v>800</v>
      </c>
      <c r="H39" s="70">
        <v>0.51300000000000001</v>
      </c>
      <c r="I39" s="70">
        <v>0.39700000000000002</v>
      </c>
      <c r="J39" s="70">
        <v>0.33100000000000002</v>
      </c>
      <c r="K39" s="70">
        <v>0.32700000000000001</v>
      </c>
      <c r="L39" s="70">
        <v>0.34699999999999998</v>
      </c>
      <c r="M39" s="70">
        <v>0.315</v>
      </c>
      <c r="N39" s="70">
        <v>0.58799999999999997</v>
      </c>
      <c r="O39" s="71">
        <v>0.79900000000000004</v>
      </c>
      <c r="P39" s="10"/>
    </row>
    <row r="40" spans="1:16" x14ac:dyDescent="0.2">
      <c r="A40" s="10"/>
      <c r="B40" s="10"/>
      <c r="C40" s="10"/>
      <c r="D40" s="10"/>
      <c r="E40" s="10"/>
      <c r="F40" s="10"/>
      <c r="G40" s="91">
        <f t="shared" si="1"/>
        <v>900</v>
      </c>
      <c r="H40" s="70">
        <v>0.52200000000000002</v>
      </c>
      <c r="I40" s="70">
        <v>0.40300000000000002</v>
      </c>
      <c r="J40" s="70">
        <v>0.33400000000000002</v>
      </c>
      <c r="K40" s="70">
        <v>0.33100000000000002</v>
      </c>
      <c r="L40" s="70">
        <v>0.35</v>
      </c>
      <c r="M40" s="70">
        <v>0.316</v>
      </c>
      <c r="N40" s="70">
        <v>0.61</v>
      </c>
      <c r="O40" s="71">
        <v>0.82399999999999995</v>
      </c>
      <c r="P40" s="10"/>
    </row>
    <row r="41" spans="1:16" x14ac:dyDescent="0.2">
      <c r="A41" s="10"/>
      <c r="B41" s="10"/>
      <c r="C41" s="10"/>
      <c r="D41" s="10"/>
      <c r="E41" s="10"/>
      <c r="F41" s="10"/>
      <c r="G41" s="91">
        <f t="shared" si="1"/>
        <v>1000</v>
      </c>
      <c r="H41" s="70">
        <v>0.53</v>
      </c>
      <c r="I41" s="70">
        <v>0.41</v>
      </c>
      <c r="J41" s="70">
        <v>0.33700000000000002</v>
      </c>
      <c r="K41" s="70">
        <v>0.33400000000000002</v>
      </c>
      <c r="L41" s="70">
        <v>0.35299999999999998</v>
      </c>
      <c r="M41" s="70">
        <v>0.318</v>
      </c>
      <c r="N41" s="70">
        <v>0.63200000000000001</v>
      </c>
      <c r="O41" s="71">
        <v>0.85099999999999998</v>
      </c>
      <c r="P41" s="10"/>
    </row>
    <row r="42" spans="1:16" x14ac:dyDescent="0.2">
      <c r="A42" s="10"/>
      <c r="B42" s="10"/>
      <c r="C42" s="10"/>
      <c r="D42" s="10"/>
      <c r="E42" s="10"/>
      <c r="F42" s="10"/>
      <c r="G42" s="91">
        <f t="shared" si="1"/>
        <v>1100</v>
      </c>
      <c r="H42" s="70">
        <v>0.53800000000000003</v>
      </c>
      <c r="I42" s="70">
        <v>0.41599999999999998</v>
      </c>
      <c r="J42" s="70">
        <v>0.34</v>
      </c>
      <c r="K42" s="70">
        <v>0.33700000000000002</v>
      </c>
      <c r="L42" s="70">
        <v>0.35599999999999998</v>
      </c>
      <c r="M42" s="70">
        <v>0.31900000000000001</v>
      </c>
      <c r="N42" s="70"/>
      <c r="O42" s="71"/>
      <c r="P42" s="10"/>
    </row>
    <row r="43" spans="1:16" x14ac:dyDescent="0.2">
      <c r="A43" s="10"/>
      <c r="B43" s="10"/>
      <c r="C43" s="10"/>
      <c r="D43" s="10"/>
      <c r="E43" s="10"/>
      <c r="F43" s="10"/>
      <c r="G43" s="91">
        <f t="shared" si="1"/>
        <v>1200</v>
      </c>
      <c r="H43" s="70">
        <v>0.54400000000000004</v>
      </c>
      <c r="I43" s="70">
        <v>0.42199999999999999</v>
      </c>
      <c r="J43" s="70">
        <v>0.34300000000000003</v>
      </c>
      <c r="K43" s="70">
        <v>0.34</v>
      </c>
      <c r="L43" s="70">
        <v>0.35899999999999999</v>
      </c>
      <c r="M43" s="70">
        <v>0.32100000000000001</v>
      </c>
      <c r="N43" s="323" t="s">
        <v>80</v>
      </c>
      <c r="O43" s="324"/>
      <c r="P43" s="10"/>
    </row>
    <row r="44" spans="1:16" x14ac:dyDescent="0.2">
      <c r="A44" s="10"/>
      <c r="B44" s="10"/>
      <c r="C44" s="10"/>
      <c r="D44" s="10"/>
      <c r="E44" s="10"/>
      <c r="F44" s="10"/>
      <c r="G44" s="91">
        <f t="shared" si="1"/>
        <v>1300</v>
      </c>
      <c r="H44" s="70">
        <v>0.55000000000000004</v>
      </c>
      <c r="I44" s="70">
        <v>0.42699999999999999</v>
      </c>
      <c r="J44" s="70">
        <v>0.34499999999999997</v>
      </c>
      <c r="K44" s="70">
        <v>0.34200000000000003</v>
      </c>
      <c r="L44" s="70">
        <v>0.36199999999999999</v>
      </c>
      <c r="M44" s="70">
        <v>0.32300000000000001</v>
      </c>
      <c r="N44" s="325"/>
      <c r="O44" s="326"/>
      <c r="P44" s="10"/>
    </row>
    <row r="45" spans="1:16" x14ac:dyDescent="0.2">
      <c r="A45" s="10"/>
      <c r="B45" s="10"/>
      <c r="C45" s="10"/>
      <c r="D45" s="10"/>
      <c r="E45" s="10"/>
      <c r="F45" s="10"/>
      <c r="G45" s="91">
        <f t="shared" si="1"/>
        <v>1400</v>
      </c>
      <c r="H45" s="70">
        <v>0.55600000000000005</v>
      </c>
      <c r="I45" s="70">
        <v>0.433</v>
      </c>
      <c r="J45" s="70">
        <v>0.34699999999999998</v>
      </c>
      <c r="K45" s="70">
        <v>0.34499999999999997</v>
      </c>
      <c r="L45" s="70">
        <v>0.36399999999999999</v>
      </c>
      <c r="M45" s="70">
        <v>0.32500000000000001</v>
      </c>
      <c r="N45" s="327"/>
      <c r="O45" s="328"/>
      <c r="P45" s="10"/>
    </row>
    <row r="46" spans="1:16" x14ac:dyDescent="0.2">
      <c r="A46" s="10"/>
      <c r="B46" s="10"/>
      <c r="C46" s="10"/>
      <c r="D46" s="10"/>
      <c r="E46" s="10"/>
      <c r="F46" s="10"/>
      <c r="G46" s="91">
        <f t="shared" si="1"/>
        <v>1500</v>
      </c>
      <c r="H46" s="70">
        <v>0.56100000000000005</v>
      </c>
      <c r="I46" s="70">
        <v>0.439</v>
      </c>
      <c r="J46" s="70">
        <v>0.35</v>
      </c>
      <c r="K46" s="70">
        <v>0.34699999999999998</v>
      </c>
      <c r="L46" s="70">
        <v>0.36599999999999999</v>
      </c>
      <c r="M46" s="70">
        <v>0.32700000000000001</v>
      </c>
      <c r="N46" s="70"/>
      <c r="O46" s="71"/>
      <c r="P46" s="10"/>
    </row>
    <row r="47" spans="1:16" x14ac:dyDescent="0.2">
      <c r="A47" s="10"/>
      <c r="B47" s="10"/>
      <c r="C47" s="10"/>
      <c r="D47" s="10"/>
      <c r="E47" s="10"/>
      <c r="F47" s="10"/>
      <c r="G47" s="91">
        <f t="shared" si="1"/>
        <v>1600</v>
      </c>
      <c r="H47" s="70">
        <v>0.56499999999999995</v>
      </c>
      <c r="I47" s="70">
        <v>0.44400000000000001</v>
      </c>
      <c r="J47" s="70">
        <v>0.35199999999999998</v>
      </c>
      <c r="K47" s="70">
        <v>0.34899999999999998</v>
      </c>
      <c r="L47" s="70">
        <v>0.36799999999999999</v>
      </c>
      <c r="M47" s="70">
        <v>0.32800000000000001</v>
      </c>
      <c r="N47" s="70"/>
      <c r="O47" s="71"/>
      <c r="P47" s="10"/>
    </row>
    <row r="48" spans="1:16" x14ac:dyDescent="0.2">
      <c r="A48" s="10"/>
      <c r="B48" s="10"/>
      <c r="C48" s="10"/>
      <c r="D48" s="10"/>
      <c r="E48" s="10"/>
      <c r="F48" s="10"/>
      <c r="G48" s="91">
        <f t="shared" si="1"/>
        <v>1700</v>
      </c>
      <c r="H48" s="70">
        <v>0.56899999999999995</v>
      </c>
      <c r="I48" s="70">
        <v>0.45</v>
      </c>
      <c r="J48" s="70">
        <v>0.35399999999999998</v>
      </c>
      <c r="K48" s="70">
        <v>0.35099999999999998</v>
      </c>
      <c r="L48" s="70">
        <v>0.37</v>
      </c>
      <c r="M48" s="70">
        <v>0.33</v>
      </c>
      <c r="N48" s="70"/>
      <c r="O48" s="71"/>
      <c r="P48" s="10"/>
    </row>
    <row r="49" spans="1:16" x14ac:dyDescent="0.2">
      <c r="A49" s="10"/>
      <c r="B49" s="10"/>
      <c r="C49" s="10"/>
      <c r="D49" s="10"/>
      <c r="E49" s="10"/>
      <c r="F49" s="10"/>
      <c r="G49" s="91">
        <f t="shared" si="1"/>
        <v>1800</v>
      </c>
      <c r="H49" s="70">
        <v>0.57299999999999995</v>
      </c>
      <c r="I49" s="70">
        <v>0.45500000000000002</v>
      </c>
      <c r="J49" s="70">
        <v>0.35499999999999998</v>
      </c>
      <c r="K49" s="70">
        <v>0.35299999999999998</v>
      </c>
      <c r="L49" s="70">
        <v>0.372</v>
      </c>
      <c r="M49" s="70">
        <v>0.33200000000000002</v>
      </c>
      <c r="N49" s="70"/>
      <c r="O49" s="71"/>
      <c r="P49" s="10"/>
    </row>
    <row r="50" spans="1:16" x14ac:dyDescent="0.2">
      <c r="A50" s="10"/>
      <c r="B50" s="10"/>
      <c r="C50" s="10"/>
      <c r="D50" s="10"/>
      <c r="E50" s="10"/>
      <c r="F50" s="10"/>
      <c r="G50" s="91">
        <f t="shared" si="1"/>
        <v>1900</v>
      </c>
      <c r="H50" s="70">
        <v>0.57699999999999996</v>
      </c>
      <c r="I50" s="70">
        <v>0.46</v>
      </c>
      <c r="J50" s="70">
        <v>0.35699999999999998</v>
      </c>
      <c r="K50" s="70">
        <v>0.35399999999999998</v>
      </c>
      <c r="L50" s="70">
        <v>0.374</v>
      </c>
      <c r="M50" s="70">
        <v>0.33400000000000002</v>
      </c>
      <c r="N50" s="70"/>
      <c r="O50" s="71"/>
      <c r="P50" s="10"/>
    </row>
    <row r="51" spans="1:16" ht="13.5" thickBot="1" x14ac:dyDescent="0.25">
      <c r="A51" s="10"/>
      <c r="B51" s="10"/>
      <c r="C51" s="10"/>
      <c r="D51" s="10"/>
      <c r="E51" s="10"/>
      <c r="F51" s="10"/>
      <c r="G51" s="92">
        <f t="shared" si="1"/>
        <v>2000</v>
      </c>
      <c r="H51" s="72">
        <v>0.59199999999999997</v>
      </c>
      <c r="I51" s="72">
        <v>0.46400000000000002</v>
      </c>
      <c r="J51" s="72">
        <v>0.35799999999999998</v>
      </c>
      <c r="K51" s="72">
        <v>0.35599999999999998</v>
      </c>
      <c r="L51" s="72">
        <v>0.376</v>
      </c>
      <c r="M51" s="72">
        <v>0.33600000000000002</v>
      </c>
      <c r="N51" s="72"/>
      <c r="O51" s="73"/>
      <c r="P51" s="10"/>
    </row>
    <row r="52" spans="1:16" ht="13.5" thickTop="1" x14ac:dyDescent="0.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</row>
    <row r="53" spans="1:16" x14ac:dyDescent="0.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</row>
  </sheetData>
  <sheetProtection algorithmName="SHA-512" hashValue="Gx01LGtek2jcNhXuml48luGWbtHB0Tz6XUWvq9E7qZrGcwEzmyiX3ku5xSBlYKCwQVLIxUW5X7yJZYkAusFcog==" saltValue="mMS1PHU8AgPa8nalAYRx8Q==" spinCount="100000" sheet="1" objects="1" scenarios="1"/>
  <mergeCells count="20">
    <mergeCell ref="B2:B3"/>
    <mergeCell ref="N16:O18"/>
    <mergeCell ref="L2:L3"/>
    <mergeCell ref="M2:M3"/>
    <mergeCell ref="N2:N3"/>
    <mergeCell ref="O2:O3"/>
    <mergeCell ref="K2:K3"/>
    <mergeCell ref="C3:D3"/>
    <mergeCell ref="H2:H3"/>
    <mergeCell ref="I2:I3"/>
    <mergeCell ref="N43:O45"/>
    <mergeCell ref="K29:K30"/>
    <mergeCell ref="L29:L30"/>
    <mergeCell ref="M29:M30"/>
    <mergeCell ref="N29:N30"/>
    <mergeCell ref="J2:J3"/>
    <mergeCell ref="H29:H30"/>
    <mergeCell ref="I29:I30"/>
    <mergeCell ref="J29:J30"/>
    <mergeCell ref="O29:O30"/>
  </mergeCells>
  <phoneticPr fontId="0" type="noConversion"/>
  <hyperlinks>
    <hyperlink ref="C37" r:id="rId1"/>
  </hyperlinks>
  <pageMargins left="0.75" right="0.75" top="1" bottom="1" header="0.5" footer="0.5"/>
  <pageSetup paperSize="9" orientation="portrait" horizontalDpi="300" verticalDpi="3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3"/>
  <sheetViews>
    <sheetView showGridLines="0" zoomScale="190" zoomScaleNormal="190" workbookViewId="0">
      <selection activeCell="B5" sqref="B5"/>
    </sheetView>
  </sheetViews>
  <sheetFormatPr defaultRowHeight="12.75" x14ac:dyDescent="0.2"/>
  <cols>
    <col min="1" max="1" width="9.5703125" customWidth="1"/>
    <col min="2" max="2" width="18.42578125" customWidth="1"/>
    <col min="3" max="3" width="12" customWidth="1"/>
    <col min="4" max="4" width="7.42578125" customWidth="1"/>
    <col min="6" max="6" width="18.42578125" customWidth="1"/>
    <col min="7" max="7" width="11" customWidth="1"/>
  </cols>
  <sheetData>
    <row r="1" spans="1:10" ht="13.5" thickBot="1" x14ac:dyDescent="0.25">
      <c r="A1" s="134"/>
      <c r="B1" s="134"/>
      <c r="C1" s="134"/>
      <c r="D1" s="134"/>
      <c r="E1" s="134"/>
      <c r="F1" s="134"/>
      <c r="G1" s="134"/>
      <c r="H1" s="134"/>
      <c r="I1" s="134"/>
      <c r="J1" s="134"/>
    </row>
    <row r="2" spans="1:10" ht="13.5" thickTop="1" x14ac:dyDescent="0.2">
      <c r="A2" s="134"/>
      <c r="B2" s="341" t="s">
        <v>108</v>
      </c>
      <c r="C2" s="143" t="s">
        <v>5</v>
      </c>
      <c r="D2" s="144" t="s">
        <v>133</v>
      </c>
      <c r="E2" s="134"/>
      <c r="F2" s="341" t="s">
        <v>108</v>
      </c>
      <c r="G2" s="143" t="s">
        <v>5</v>
      </c>
      <c r="H2" s="144" t="s">
        <v>133</v>
      </c>
      <c r="I2" s="134"/>
      <c r="J2" s="134"/>
    </row>
    <row r="3" spans="1:10" x14ac:dyDescent="0.2">
      <c r="A3" s="134"/>
      <c r="B3" s="342"/>
      <c r="C3" s="145" t="s">
        <v>6</v>
      </c>
      <c r="D3" s="146" t="s">
        <v>4</v>
      </c>
      <c r="E3" s="134"/>
      <c r="F3" s="342"/>
      <c r="G3" s="145" t="s">
        <v>6</v>
      </c>
      <c r="H3" s="146" t="s">
        <v>4</v>
      </c>
      <c r="I3" s="134"/>
      <c r="J3" s="134"/>
    </row>
    <row r="4" spans="1:10" x14ac:dyDescent="0.2">
      <c r="A4" s="134"/>
      <c r="B4" s="53" t="s">
        <v>134</v>
      </c>
      <c r="C4" s="42">
        <v>2700</v>
      </c>
      <c r="D4" s="54">
        <v>0</v>
      </c>
      <c r="E4" s="134"/>
      <c r="F4" s="53" t="s">
        <v>144</v>
      </c>
      <c r="G4" s="42" t="s">
        <v>145</v>
      </c>
      <c r="H4" s="54">
        <v>15</v>
      </c>
      <c r="I4" s="134"/>
      <c r="J4" s="134"/>
    </row>
    <row r="5" spans="1:10" x14ac:dyDescent="0.2">
      <c r="A5" s="134"/>
      <c r="B5" s="53" t="s">
        <v>135</v>
      </c>
      <c r="C5" s="42">
        <v>8900</v>
      </c>
      <c r="D5" s="54">
        <v>0</v>
      </c>
      <c r="E5" s="134"/>
      <c r="F5" s="53" t="s">
        <v>146</v>
      </c>
      <c r="G5" s="42">
        <v>813</v>
      </c>
      <c r="H5" s="54">
        <v>0</v>
      </c>
      <c r="I5" s="134"/>
      <c r="J5" s="134"/>
    </row>
    <row r="6" spans="1:10" x14ac:dyDescent="0.2">
      <c r="A6" s="134"/>
      <c r="B6" s="53" t="s">
        <v>136</v>
      </c>
      <c r="C6" s="42">
        <v>8800</v>
      </c>
      <c r="D6" s="54">
        <v>0</v>
      </c>
      <c r="E6" s="134"/>
      <c r="F6" s="53" t="s">
        <v>111</v>
      </c>
      <c r="G6" s="42">
        <v>751</v>
      </c>
      <c r="H6" s="54">
        <v>20</v>
      </c>
      <c r="I6" s="134"/>
      <c r="J6" s="134"/>
    </row>
    <row r="7" spans="1:10" x14ac:dyDescent="0.2">
      <c r="A7" s="134"/>
      <c r="B7" s="53" t="s">
        <v>137</v>
      </c>
      <c r="C7" s="42">
        <v>11300</v>
      </c>
      <c r="D7" s="54">
        <v>0</v>
      </c>
      <c r="E7" s="134"/>
      <c r="F7" s="53" t="s">
        <v>147</v>
      </c>
      <c r="G7" s="42">
        <v>1267</v>
      </c>
      <c r="H7" s="54">
        <v>0</v>
      </c>
      <c r="I7" s="134"/>
      <c r="J7" s="134"/>
    </row>
    <row r="8" spans="1:10" x14ac:dyDescent="0.2">
      <c r="A8" s="134"/>
      <c r="B8" s="53" t="s">
        <v>138</v>
      </c>
      <c r="C8" s="42">
        <v>10500</v>
      </c>
      <c r="D8" s="54">
        <v>0</v>
      </c>
      <c r="E8" s="134"/>
      <c r="F8" s="53" t="s">
        <v>113</v>
      </c>
      <c r="G8" s="42">
        <v>819</v>
      </c>
      <c r="H8" s="54">
        <v>20</v>
      </c>
      <c r="I8" s="134"/>
      <c r="J8" s="134"/>
    </row>
    <row r="9" spans="1:10" x14ac:dyDescent="0.2">
      <c r="A9" s="134"/>
      <c r="B9" s="53" t="s">
        <v>139</v>
      </c>
      <c r="C9" s="42">
        <v>7800</v>
      </c>
      <c r="D9" s="54">
        <v>0</v>
      </c>
      <c r="E9" s="134"/>
      <c r="F9" s="53" t="s">
        <v>148</v>
      </c>
      <c r="G9" s="42">
        <v>878</v>
      </c>
      <c r="H9" s="54">
        <v>20</v>
      </c>
      <c r="I9" s="134"/>
      <c r="J9" s="134"/>
    </row>
    <row r="10" spans="1:10" x14ac:dyDescent="0.2">
      <c r="A10" s="134"/>
      <c r="B10" s="53" t="s">
        <v>140</v>
      </c>
      <c r="C10" s="42">
        <v>19320</v>
      </c>
      <c r="D10" s="54">
        <v>0</v>
      </c>
      <c r="E10" s="134"/>
      <c r="F10" s="53" t="s">
        <v>149</v>
      </c>
      <c r="G10" s="42">
        <v>898</v>
      </c>
      <c r="H10" s="54">
        <v>20</v>
      </c>
      <c r="I10" s="134"/>
      <c r="J10" s="134"/>
    </row>
    <row r="11" spans="1:10" x14ac:dyDescent="0.2">
      <c r="A11" s="134"/>
      <c r="B11" s="53" t="s">
        <v>141</v>
      </c>
      <c r="C11" s="42">
        <v>13600</v>
      </c>
      <c r="D11" s="54">
        <v>0</v>
      </c>
      <c r="E11" s="134"/>
      <c r="F11" s="53" t="s">
        <v>150</v>
      </c>
      <c r="G11" s="141">
        <f>1/0.001321</f>
        <v>757.00227100681309</v>
      </c>
      <c r="H11" s="54">
        <v>0</v>
      </c>
      <c r="I11" s="134"/>
      <c r="J11" s="134"/>
    </row>
    <row r="12" spans="1:10" x14ac:dyDescent="0.2">
      <c r="A12" s="134"/>
      <c r="B12" s="53" t="s">
        <v>142</v>
      </c>
      <c r="C12" s="42">
        <v>21460</v>
      </c>
      <c r="D12" s="54">
        <v>0</v>
      </c>
      <c r="E12" s="134"/>
      <c r="F12" s="53" t="s">
        <v>151</v>
      </c>
      <c r="G12" s="42">
        <v>810</v>
      </c>
      <c r="H12" s="54">
        <v>0</v>
      </c>
      <c r="I12" s="134"/>
      <c r="J12" s="134"/>
    </row>
    <row r="13" spans="1:10" x14ac:dyDescent="0.2">
      <c r="A13" s="134"/>
      <c r="B13" s="53" t="s">
        <v>143</v>
      </c>
      <c r="C13" s="42">
        <v>4505</v>
      </c>
      <c r="D13" s="54">
        <v>0</v>
      </c>
      <c r="E13" s="134"/>
      <c r="F13" s="135"/>
      <c r="G13" s="136"/>
      <c r="H13" s="137"/>
      <c r="I13" s="134"/>
      <c r="J13" s="134"/>
    </row>
    <row r="14" spans="1:10" x14ac:dyDescent="0.2">
      <c r="A14" s="134"/>
      <c r="B14" s="53" t="s">
        <v>152</v>
      </c>
      <c r="C14" s="42">
        <v>900</v>
      </c>
      <c r="D14" s="54">
        <v>0</v>
      </c>
      <c r="E14" s="134"/>
      <c r="F14" s="135"/>
      <c r="G14" s="136"/>
      <c r="H14" s="137"/>
      <c r="I14" s="134"/>
      <c r="J14" s="134"/>
    </row>
    <row r="15" spans="1:10" x14ac:dyDescent="0.2">
      <c r="A15" s="134"/>
      <c r="B15" s="135"/>
      <c r="C15" s="136"/>
      <c r="D15" s="137"/>
      <c r="E15" s="134"/>
      <c r="F15" s="135"/>
      <c r="G15" s="136"/>
      <c r="H15" s="137"/>
      <c r="I15" s="134"/>
      <c r="J15" s="134"/>
    </row>
    <row r="16" spans="1:10" x14ac:dyDescent="0.2">
      <c r="A16" s="134"/>
      <c r="B16" s="135"/>
      <c r="C16" s="136"/>
      <c r="D16" s="137"/>
      <c r="E16" s="134"/>
      <c r="F16" s="135"/>
      <c r="G16" s="136"/>
      <c r="H16" s="137"/>
      <c r="I16" s="134"/>
      <c r="J16" s="134"/>
    </row>
    <row r="17" spans="1:10" x14ac:dyDescent="0.2">
      <c r="A17" s="134"/>
      <c r="B17" s="135"/>
      <c r="C17" s="136"/>
      <c r="D17" s="137"/>
      <c r="E17" s="134"/>
      <c r="F17" s="135"/>
      <c r="G17" s="136"/>
      <c r="H17" s="137"/>
      <c r="I17" s="134"/>
      <c r="J17" s="134"/>
    </row>
    <row r="18" spans="1:10" x14ac:dyDescent="0.2">
      <c r="A18" s="134"/>
      <c r="B18" s="135"/>
      <c r="C18" s="136"/>
      <c r="D18" s="137"/>
      <c r="E18" s="134"/>
      <c r="F18" s="135"/>
      <c r="G18" s="136"/>
      <c r="H18" s="137"/>
      <c r="I18" s="134"/>
      <c r="J18" s="134"/>
    </row>
    <row r="19" spans="1:10" x14ac:dyDescent="0.2">
      <c r="A19" s="134"/>
      <c r="B19" s="135"/>
      <c r="C19" s="136"/>
      <c r="D19" s="137"/>
      <c r="E19" s="134"/>
      <c r="F19" s="135"/>
      <c r="G19" s="136"/>
      <c r="H19" s="137"/>
      <c r="I19" s="134"/>
      <c r="J19" s="134"/>
    </row>
    <row r="20" spans="1:10" x14ac:dyDescent="0.2">
      <c r="A20" s="134"/>
      <c r="B20" s="135"/>
      <c r="C20" s="136"/>
      <c r="D20" s="137"/>
      <c r="E20" s="134"/>
      <c r="F20" s="135"/>
      <c r="G20" s="136"/>
      <c r="H20" s="137"/>
      <c r="I20" s="134"/>
      <c r="J20" s="134"/>
    </row>
    <row r="21" spans="1:10" ht="13.5" thickBot="1" x14ac:dyDescent="0.25">
      <c r="A21" s="134"/>
      <c r="B21" s="138"/>
      <c r="C21" s="139"/>
      <c r="D21" s="140"/>
      <c r="E21" s="134"/>
      <c r="F21" s="138"/>
      <c r="G21" s="139"/>
      <c r="H21" s="140"/>
      <c r="I21" s="134"/>
      <c r="J21" s="134"/>
    </row>
    <row r="22" spans="1:10" ht="13.5" thickTop="1" x14ac:dyDescent="0.2">
      <c r="A22" s="134"/>
      <c r="B22" s="134"/>
      <c r="C22" s="134"/>
      <c r="D22" s="134"/>
      <c r="E22" s="134"/>
      <c r="F22" s="134"/>
      <c r="G22" s="134"/>
      <c r="H22" s="134"/>
      <c r="I22" s="134"/>
      <c r="J22" s="134"/>
    </row>
    <row r="23" spans="1:10" x14ac:dyDescent="0.2">
      <c r="A23" s="134"/>
      <c r="B23" s="134"/>
      <c r="C23" s="134"/>
      <c r="D23" s="134"/>
      <c r="E23" s="134"/>
      <c r="F23" s="134"/>
      <c r="G23" s="134"/>
      <c r="H23" s="134"/>
      <c r="I23" s="134"/>
      <c r="J23" s="134"/>
    </row>
  </sheetData>
  <sheetProtection password="C651" sheet="1" objects="1" scenarios="1"/>
  <mergeCells count="2">
    <mergeCell ref="B2:B3"/>
    <mergeCell ref="F2:F3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showGridLines="0" zoomScale="125" workbookViewId="0">
      <selection activeCell="L13" sqref="L13"/>
    </sheetView>
  </sheetViews>
  <sheetFormatPr defaultRowHeight="12.75" x14ac:dyDescent="0.2"/>
  <cols>
    <col min="4" max="4" width="2.28515625" customWidth="1"/>
    <col min="7" max="7" width="2.140625" customWidth="1"/>
    <col min="11" max="11" width="1.5703125" customWidth="1"/>
    <col min="13" max="13" width="11.5703125" bestFit="1" customWidth="1"/>
  </cols>
  <sheetData>
    <row r="1" spans="1:15" ht="6" customHeight="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2">
      <c r="A2" s="6"/>
      <c r="B2" s="1" t="s">
        <v>10</v>
      </c>
      <c r="C2" s="8" t="s">
        <v>6</v>
      </c>
      <c r="D2" s="7"/>
      <c r="E2" s="1" t="s">
        <v>10</v>
      </c>
      <c r="F2" s="8" t="s">
        <v>6</v>
      </c>
      <c r="G2" s="7"/>
      <c r="H2" s="7"/>
      <c r="I2" s="1" t="s">
        <v>10</v>
      </c>
      <c r="J2" s="8" t="s">
        <v>6</v>
      </c>
      <c r="K2" s="7"/>
      <c r="L2" s="1" t="s">
        <v>10</v>
      </c>
      <c r="M2" s="8" t="s">
        <v>6</v>
      </c>
      <c r="N2" s="6"/>
      <c r="O2" s="6"/>
    </row>
    <row r="3" spans="1:15" x14ac:dyDescent="0.2">
      <c r="A3" s="6"/>
      <c r="B3" s="1">
        <v>10</v>
      </c>
      <c r="C3" s="8">
        <v>999.59</v>
      </c>
      <c r="D3" s="7"/>
      <c r="E3" s="1">
        <v>56</v>
      </c>
      <c r="F3" s="8">
        <v>985.25</v>
      </c>
      <c r="G3" s="7"/>
      <c r="H3" s="7"/>
      <c r="I3" s="1">
        <v>78</v>
      </c>
      <c r="J3" s="8">
        <v>973.07</v>
      </c>
      <c r="K3" s="7"/>
      <c r="L3" s="1">
        <v>100</v>
      </c>
      <c r="M3" s="8">
        <v>958.38</v>
      </c>
      <c r="N3" s="6"/>
      <c r="O3" s="6"/>
    </row>
    <row r="4" spans="1:15" x14ac:dyDescent="0.2">
      <c r="A4" s="6"/>
      <c r="B4" s="1">
        <v>15</v>
      </c>
      <c r="C4" s="8">
        <v>999</v>
      </c>
      <c r="D4" s="7"/>
      <c r="E4" s="1">
        <v>57</v>
      </c>
      <c r="F4" s="8">
        <v>984.75</v>
      </c>
      <c r="G4" s="7"/>
      <c r="H4" s="7"/>
      <c r="I4" s="1">
        <f t="shared" ref="I4:I24" si="0">I3+1</f>
        <v>79</v>
      </c>
      <c r="J4" s="8">
        <v>972.45</v>
      </c>
      <c r="K4" s="7"/>
      <c r="L4" s="1">
        <f>L3+5</f>
        <v>105</v>
      </c>
      <c r="M4" s="8">
        <v>954.75</v>
      </c>
      <c r="N4" s="6"/>
      <c r="O4" s="6"/>
    </row>
    <row r="5" spans="1:15" x14ac:dyDescent="0.2">
      <c r="A5" s="6"/>
      <c r="B5" s="1">
        <v>20</v>
      </c>
      <c r="C5" s="8">
        <v>998.23</v>
      </c>
      <c r="D5" s="7"/>
      <c r="E5" s="1">
        <v>58</v>
      </c>
      <c r="F5" s="8">
        <v>984.25</v>
      </c>
      <c r="G5" s="7"/>
      <c r="H5" s="7"/>
      <c r="I5" s="1">
        <f t="shared" si="0"/>
        <v>80</v>
      </c>
      <c r="J5" s="8">
        <v>971.83</v>
      </c>
      <c r="K5" s="7"/>
      <c r="L5" s="1">
        <f t="shared" ref="L5:L19" si="1">L4+5</f>
        <v>110</v>
      </c>
      <c r="M5" s="8">
        <v>951.98</v>
      </c>
      <c r="N5" s="6"/>
      <c r="O5" s="6"/>
    </row>
    <row r="6" spans="1:15" x14ac:dyDescent="0.2">
      <c r="A6" s="6"/>
      <c r="B6" s="1">
        <v>25</v>
      </c>
      <c r="C6" s="8">
        <v>997</v>
      </c>
      <c r="D6" s="7"/>
      <c r="E6" s="1">
        <v>59</v>
      </c>
      <c r="F6" s="8">
        <v>983.75</v>
      </c>
      <c r="G6" s="7"/>
      <c r="H6" s="7"/>
      <c r="I6" s="1">
        <f t="shared" si="0"/>
        <v>81</v>
      </c>
      <c r="J6" s="8">
        <v>971.21</v>
      </c>
      <c r="K6" s="7"/>
      <c r="L6" s="1">
        <f t="shared" si="1"/>
        <v>115</v>
      </c>
      <c r="M6" s="8">
        <v>947.15</v>
      </c>
      <c r="N6" s="6"/>
      <c r="O6" s="6"/>
    </row>
    <row r="7" spans="1:15" x14ac:dyDescent="0.2">
      <c r="A7" s="6"/>
      <c r="B7" s="1">
        <v>30</v>
      </c>
      <c r="C7" s="8">
        <v>995.67</v>
      </c>
      <c r="D7" s="7"/>
      <c r="E7" s="1">
        <v>60</v>
      </c>
      <c r="F7" s="8">
        <v>983.24</v>
      </c>
      <c r="G7" s="7"/>
      <c r="H7" s="7"/>
      <c r="I7" s="1">
        <f t="shared" si="0"/>
        <v>82</v>
      </c>
      <c r="J7" s="8">
        <v>970.57</v>
      </c>
      <c r="K7" s="7"/>
      <c r="L7" s="1">
        <f t="shared" si="1"/>
        <v>120</v>
      </c>
      <c r="M7" s="8">
        <v>945.13</v>
      </c>
      <c r="N7" s="6"/>
      <c r="O7" s="6"/>
    </row>
    <row r="8" spans="1:15" x14ac:dyDescent="0.2">
      <c r="A8" s="6"/>
      <c r="B8" s="1">
        <v>35</v>
      </c>
      <c r="C8" s="8">
        <v>993.94</v>
      </c>
      <c r="D8" s="7"/>
      <c r="E8" s="1">
        <v>61</v>
      </c>
      <c r="F8" s="8">
        <v>982.73</v>
      </c>
      <c r="G8" s="7"/>
      <c r="H8" s="7"/>
      <c r="I8" s="1">
        <f t="shared" si="0"/>
        <v>83</v>
      </c>
      <c r="J8" s="8">
        <v>969.94</v>
      </c>
      <c r="K8" s="7"/>
      <c r="L8" s="1">
        <f t="shared" si="1"/>
        <v>125</v>
      </c>
      <c r="M8" s="8">
        <v>945.13</v>
      </c>
      <c r="N8" s="6"/>
      <c r="O8" s="6"/>
    </row>
    <row r="9" spans="1:15" x14ac:dyDescent="0.2">
      <c r="A9" s="6"/>
      <c r="B9" s="1">
        <v>40</v>
      </c>
      <c r="C9" s="8">
        <v>992.24</v>
      </c>
      <c r="D9" s="7"/>
      <c r="E9" s="1">
        <v>62</v>
      </c>
      <c r="F9" s="8">
        <v>982.2</v>
      </c>
      <c r="G9" s="7"/>
      <c r="H9" s="7"/>
      <c r="I9" s="1">
        <f t="shared" si="0"/>
        <v>84</v>
      </c>
      <c r="J9" s="8">
        <v>969.3</v>
      </c>
      <c r="K9" s="7"/>
      <c r="L9" s="1">
        <f t="shared" si="1"/>
        <v>130</v>
      </c>
      <c r="M9" s="8">
        <v>934.84</v>
      </c>
      <c r="N9" s="6"/>
      <c r="O9" s="6"/>
    </row>
    <row r="10" spans="1:15" x14ac:dyDescent="0.2">
      <c r="A10" s="6"/>
      <c r="B10" s="1">
        <v>41</v>
      </c>
      <c r="C10" s="8">
        <v>991.86</v>
      </c>
      <c r="D10" s="7"/>
      <c r="E10" s="1">
        <v>63</v>
      </c>
      <c r="F10" s="8">
        <v>981.67</v>
      </c>
      <c r="G10" s="7"/>
      <c r="H10" s="7"/>
      <c r="I10" s="1">
        <f t="shared" si="0"/>
        <v>85</v>
      </c>
      <c r="J10" s="8">
        <v>968.65</v>
      </c>
      <c r="K10" s="7"/>
      <c r="L10" s="1">
        <f t="shared" si="1"/>
        <v>135</v>
      </c>
      <c r="M10" s="8">
        <v>930.49</v>
      </c>
      <c r="N10" s="6"/>
      <c r="O10" s="6"/>
    </row>
    <row r="11" spans="1:15" x14ac:dyDescent="0.2">
      <c r="A11" s="6"/>
      <c r="B11" s="1">
        <v>42</v>
      </c>
      <c r="C11" s="8">
        <v>991.47</v>
      </c>
      <c r="D11" s="7"/>
      <c r="E11" s="1">
        <f>E10+1</f>
        <v>64</v>
      </c>
      <c r="F11" s="8">
        <v>981.13</v>
      </c>
      <c r="G11" s="7"/>
      <c r="H11" s="7"/>
      <c r="I11" s="1">
        <f t="shared" si="0"/>
        <v>86</v>
      </c>
      <c r="J11" s="8">
        <v>968</v>
      </c>
      <c r="K11" s="7"/>
      <c r="L11" s="1">
        <f t="shared" si="1"/>
        <v>140</v>
      </c>
      <c r="M11" s="8">
        <v>926.1</v>
      </c>
      <c r="N11" s="6"/>
      <c r="O11" s="6"/>
    </row>
    <row r="12" spans="1:15" x14ac:dyDescent="0.2">
      <c r="A12" s="6"/>
      <c r="B12" s="1">
        <v>43</v>
      </c>
      <c r="C12" s="8">
        <v>991.07</v>
      </c>
      <c r="D12" s="7"/>
      <c r="E12" s="1">
        <f t="shared" ref="E12:E24" si="2">E11+1</f>
        <v>65</v>
      </c>
      <c r="F12" s="8">
        <v>980.59</v>
      </c>
      <c r="G12" s="7"/>
      <c r="H12" s="7"/>
      <c r="I12" s="1">
        <f t="shared" si="0"/>
        <v>87</v>
      </c>
      <c r="J12" s="8">
        <v>967.34</v>
      </c>
      <c r="K12" s="7"/>
      <c r="L12" s="1">
        <f t="shared" si="1"/>
        <v>145</v>
      </c>
      <c r="M12" s="8">
        <v>921.57</v>
      </c>
      <c r="N12" s="6"/>
      <c r="O12" s="6"/>
    </row>
    <row r="13" spans="1:15" x14ac:dyDescent="0.2">
      <c r="A13" s="6"/>
      <c r="B13" s="1">
        <v>44</v>
      </c>
      <c r="C13" s="8">
        <v>990.66</v>
      </c>
      <c r="D13" s="7"/>
      <c r="E13" s="1">
        <f t="shared" si="2"/>
        <v>66</v>
      </c>
      <c r="F13" s="8">
        <v>980.05</v>
      </c>
      <c r="G13" s="7"/>
      <c r="H13" s="7"/>
      <c r="I13" s="1">
        <f t="shared" si="0"/>
        <v>88</v>
      </c>
      <c r="J13" s="8">
        <v>966.68</v>
      </c>
      <c r="K13" s="7"/>
      <c r="L13" s="1">
        <f t="shared" si="1"/>
        <v>150</v>
      </c>
      <c r="M13" s="8">
        <v>916.93</v>
      </c>
      <c r="N13" s="6"/>
      <c r="O13" s="6"/>
    </row>
    <row r="14" spans="1:15" x14ac:dyDescent="0.2">
      <c r="A14" s="6"/>
      <c r="B14" s="1">
        <v>45</v>
      </c>
      <c r="C14" s="8">
        <v>990.25</v>
      </c>
      <c r="D14" s="7"/>
      <c r="E14" s="1">
        <f t="shared" si="2"/>
        <v>67</v>
      </c>
      <c r="F14" s="8">
        <v>979.5</v>
      </c>
      <c r="G14" s="7"/>
      <c r="H14" s="7"/>
      <c r="I14" s="1">
        <f t="shared" si="0"/>
        <v>89</v>
      </c>
      <c r="J14" s="8">
        <v>966.01</v>
      </c>
      <c r="K14" s="7"/>
      <c r="L14" s="1">
        <f t="shared" si="1"/>
        <v>155</v>
      </c>
      <c r="M14" s="8">
        <v>912.24</v>
      </c>
      <c r="N14" s="6"/>
      <c r="O14" s="6"/>
    </row>
    <row r="15" spans="1:15" x14ac:dyDescent="0.2">
      <c r="A15" s="6"/>
      <c r="B15" s="1">
        <v>46</v>
      </c>
      <c r="C15" s="8">
        <v>989.82</v>
      </c>
      <c r="D15" s="7"/>
      <c r="E15" s="1">
        <f t="shared" si="2"/>
        <v>68</v>
      </c>
      <c r="F15" s="8">
        <v>978.94</v>
      </c>
      <c r="G15" s="7"/>
      <c r="H15" s="7"/>
      <c r="I15" s="1">
        <f t="shared" si="0"/>
        <v>90</v>
      </c>
      <c r="J15" s="8">
        <v>965.34</v>
      </c>
      <c r="K15" s="7"/>
      <c r="L15" s="1">
        <f t="shared" si="1"/>
        <v>160</v>
      </c>
      <c r="M15" s="8">
        <v>907.4</v>
      </c>
      <c r="N15" s="6"/>
      <c r="O15" s="6"/>
    </row>
    <row r="16" spans="1:15" x14ac:dyDescent="0.2">
      <c r="A16" s="6"/>
      <c r="B16" s="1">
        <v>47</v>
      </c>
      <c r="C16" s="8">
        <v>989.4</v>
      </c>
      <c r="D16" s="7"/>
      <c r="E16" s="1">
        <f t="shared" si="2"/>
        <v>69</v>
      </c>
      <c r="F16" s="8">
        <v>978.38</v>
      </c>
      <c r="G16" s="7"/>
      <c r="H16" s="7"/>
      <c r="I16" s="1">
        <f t="shared" si="0"/>
        <v>91</v>
      </c>
      <c r="J16" s="8">
        <v>964.67</v>
      </c>
      <c r="K16" s="7"/>
      <c r="L16" s="1">
        <f t="shared" si="1"/>
        <v>165</v>
      </c>
      <c r="M16" s="8">
        <v>902.44</v>
      </c>
      <c r="N16" s="6"/>
      <c r="O16" s="6"/>
    </row>
    <row r="17" spans="1:15" x14ac:dyDescent="0.2">
      <c r="A17" s="6"/>
      <c r="B17" s="1">
        <v>48</v>
      </c>
      <c r="C17" s="8">
        <v>998.96</v>
      </c>
      <c r="D17" s="7"/>
      <c r="E17" s="1">
        <f t="shared" si="2"/>
        <v>70</v>
      </c>
      <c r="F17" s="8">
        <v>977.81</v>
      </c>
      <c r="G17" s="7"/>
      <c r="H17" s="7"/>
      <c r="I17" s="1">
        <f t="shared" si="0"/>
        <v>92</v>
      </c>
      <c r="J17" s="8">
        <v>963.99</v>
      </c>
      <c r="K17" s="7"/>
      <c r="L17" s="1">
        <f t="shared" si="1"/>
        <v>170</v>
      </c>
      <c r="M17" s="8">
        <v>897.34</v>
      </c>
      <c r="N17" s="6"/>
      <c r="O17" s="6"/>
    </row>
    <row r="18" spans="1:15" x14ac:dyDescent="0.2">
      <c r="A18" s="6"/>
      <c r="B18" s="1">
        <v>49</v>
      </c>
      <c r="C18" s="8">
        <v>998.52</v>
      </c>
      <c r="D18" s="7"/>
      <c r="E18" s="1">
        <f t="shared" si="2"/>
        <v>71</v>
      </c>
      <c r="F18" s="8">
        <v>977.23</v>
      </c>
      <c r="G18" s="7"/>
      <c r="H18" s="7"/>
      <c r="I18" s="1">
        <f t="shared" si="0"/>
        <v>93</v>
      </c>
      <c r="J18" s="8">
        <v>963.3</v>
      </c>
      <c r="K18" s="7"/>
      <c r="L18" s="1">
        <f t="shared" si="1"/>
        <v>175</v>
      </c>
      <c r="M18" s="8">
        <v>892.22</v>
      </c>
      <c r="N18" s="6"/>
      <c r="O18" s="6"/>
    </row>
    <row r="19" spans="1:15" x14ac:dyDescent="0.2">
      <c r="A19" s="6"/>
      <c r="B19" s="1">
        <v>50</v>
      </c>
      <c r="C19" s="8">
        <v>988.07</v>
      </c>
      <c r="D19" s="7"/>
      <c r="E19" s="1">
        <f t="shared" si="2"/>
        <v>72</v>
      </c>
      <c r="F19" s="8">
        <v>976.61</v>
      </c>
      <c r="G19" s="7"/>
      <c r="H19" s="7"/>
      <c r="I19" s="1">
        <f t="shared" si="0"/>
        <v>94</v>
      </c>
      <c r="J19" s="8">
        <v>962.61</v>
      </c>
      <c r="K19" s="7"/>
      <c r="L19" s="1">
        <f t="shared" si="1"/>
        <v>180</v>
      </c>
      <c r="M19" s="1">
        <v>886.91</v>
      </c>
      <c r="N19" s="6"/>
      <c r="O19" s="6"/>
    </row>
    <row r="20" spans="1:15" x14ac:dyDescent="0.2">
      <c r="A20" s="6"/>
      <c r="B20" s="1">
        <v>51</v>
      </c>
      <c r="C20" s="8">
        <v>987.62</v>
      </c>
      <c r="D20" s="7"/>
      <c r="E20" s="1">
        <f t="shared" si="2"/>
        <v>73</v>
      </c>
      <c r="F20" s="8">
        <v>976.07</v>
      </c>
      <c r="G20" s="7"/>
      <c r="H20" s="7"/>
      <c r="I20" s="1">
        <f t="shared" si="0"/>
        <v>95</v>
      </c>
      <c r="J20" s="8">
        <v>961.92</v>
      </c>
      <c r="K20" s="7"/>
      <c r="L20" s="1"/>
      <c r="M20" s="1"/>
      <c r="N20" s="6"/>
      <c r="O20" s="6"/>
    </row>
    <row r="21" spans="1:15" x14ac:dyDescent="0.2">
      <c r="A21" s="6"/>
      <c r="B21" s="1">
        <v>52</v>
      </c>
      <c r="C21" s="8">
        <v>987.15</v>
      </c>
      <c r="D21" s="7"/>
      <c r="E21" s="1">
        <f t="shared" si="2"/>
        <v>74</v>
      </c>
      <c r="F21" s="8">
        <v>975.48</v>
      </c>
      <c r="G21" s="7"/>
      <c r="H21" s="7"/>
      <c r="I21" s="1">
        <f t="shared" si="0"/>
        <v>96</v>
      </c>
      <c r="J21" s="8">
        <v>961.22</v>
      </c>
      <c r="K21" s="7"/>
      <c r="L21" s="1"/>
      <c r="M21" s="193"/>
      <c r="N21" s="6"/>
      <c r="O21" s="6"/>
    </row>
    <row r="22" spans="1:15" x14ac:dyDescent="0.2">
      <c r="A22" s="6"/>
      <c r="B22" s="1">
        <v>53</v>
      </c>
      <c r="C22" s="8">
        <v>986.69</v>
      </c>
      <c r="D22" s="7"/>
      <c r="E22" s="1">
        <f t="shared" si="2"/>
        <v>75</v>
      </c>
      <c r="F22" s="8">
        <v>974.85</v>
      </c>
      <c r="G22" s="7"/>
      <c r="H22" s="7"/>
      <c r="I22" s="1">
        <f t="shared" si="0"/>
        <v>97</v>
      </c>
      <c r="J22" s="8">
        <v>960.51</v>
      </c>
      <c r="K22" s="7"/>
      <c r="L22" s="1"/>
      <c r="M22" s="1"/>
      <c r="N22" s="6"/>
      <c r="O22" s="6"/>
    </row>
    <row r="23" spans="1:15" x14ac:dyDescent="0.2">
      <c r="A23" s="6"/>
      <c r="B23" s="1">
        <v>54</v>
      </c>
      <c r="C23" s="8">
        <v>986.21</v>
      </c>
      <c r="D23" s="7"/>
      <c r="E23" s="1">
        <f t="shared" si="2"/>
        <v>76</v>
      </c>
      <c r="F23" s="8">
        <v>974.29</v>
      </c>
      <c r="G23" s="7"/>
      <c r="H23" s="7"/>
      <c r="I23" s="1">
        <f t="shared" si="0"/>
        <v>98</v>
      </c>
      <c r="J23" s="8">
        <v>959.81</v>
      </c>
      <c r="K23" s="7"/>
      <c r="L23" s="1"/>
      <c r="M23" s="1"/>
      <c r="N23" s="6"/>
      <c r="O23" s="6"/>
    </row>
    <row r="24" spans="1:15" x14ac:dyDescent="0.2">
      <c r="A24" s="6"/>
      <c r="B24" s="1">
        <v>55</v>
      </c>
      <c r="C24" s="8">
        <v>985.73</v>
      </c>
      <c r="D24" s="7"/>
      <c r="E24" s="1">
        <f t="shared" si="2"/>
        <v>77</v>
      </c>
      <c r="F24" s="8">
        <v>973.68</v>
      </c>
      <c r="G24" s="7"/>
      <c r="H24" s="7"/>
      <c r="I24" s="1">
        <f t="shared" si="0"/>
        <v>99</v>
      </c>
      <c r="J24" s="8">
        <v>959.09</v>
      </c>
      <c r="K24" s="7"/>
      <c r="L24" s="1"/>
      <c r="M24" s="1"/>
      <c r="N24" s="6"/>
      <c r="O24" s="6"/>
    </row>
    <row r="25" spans="1:15" x14ac:dyDescent="0.2">
      <c r="A25" s="6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6"/>
      <c r="O25" s="6"/>
    </row>
  </sheetData>
  <sheetProtection password="C651" sheet="1" objects="1" scenarios="1"/>
  <phoneticPr fontId="0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X24"/>
  <sheetViews>
    <sheetView showGridLines="0" zoomScale="175" zoomScaleNormal="175" workbookViewId="0">
      <selection activeCell="X8" sqref="X8"/>
    </sheetView>
  </sheetViews>
  <sheetFormatPr defaultRowHeight="12.75" x14ac:dyDescent="0.2"/>
  <cols>
    <col min="1" max="1" width="2.5703125" customWidth="1"/>
    <col min="2" max="2" width="4.28515625" customWidth="1"/>
    <col min="3" max="3" width="6.140625" customWidth="1"/>
    <col min="4" max="4" width="2.42578125" customWidth="1"/>
    <col min="5" max="5" width="4.28515625" customWidth="1"/>
    <col min="6" max="6" width="6.140625" customWidth="1"/>
    <col min="7" max="7" width="2.28515625" customWidth="1"/>
    <col min="8" max="8" width="4.28515625" customWidth="1"/>
    <col min="9" max="9" width="6.140625" customWidth="1"/>
    <col min="10" max="10" width="2.5703125" customWidth="1"/>
    <col min="11" max="11" width="4.28515625" customWidth="1"/>
    <col min="12" max="12" width="6.140625" customWidth="1"/>
    <col min="13" max="13" width="2.5703125" customWidth="1"/>
    <col min="14" max="14" width="4.28515625" customWidth="1"/>
    <col min="15" max="15" width="6.140625" customWidth="1"/>
    <col min="16" max="16" width="2.7109375" customWidth="1"/>
    <col min="17" max="17" width="4.28515625" customWidth="1"/>
    <col min="18" max="18" width="6.140625" customWidth="1"/>
    <col min="19" max="19" width="2.7109375" customWidth="1"/>
    <col min="20" max="20" width="4.28515625" customWidth="1"/>
    <col min="21" max="21" width="6.140625" customWidth="1"/>
    <col min="22" max="22" width="5.5703125" customWidth="1"/>
  </cols>
  <sheetData>
    <row r="1" spans="1:24" x14ac:dyDescent="0.2">
      <c r="A1" s="10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</row>
    <row r="2" spans="1:24" ht="15.75" x14ac:dyDescent="0.2">
      <c r="A2" s="10"/>
      <c r="B2" s="11" t="s">
        <v>11</v>
      </c>
      <c r="C2" s="11" t="s">
        <v>12</v>
      </c>
      <c r="D2" s="10"/>
      <c r="E2" s="11" t="s">
        <v>11</v>
      </c>
      <c r="F2" s="11" t="s">
        <v>12</v>
      </c>
      <c r="G2" s="10"/>
      <c r="H2" s="11" t="s">
        <v>11</v>
      </c>
      <c r="I2" s="11" t="s">
        <v>12</v>
      </c>
      <c r="J2" s="10"/>
      <c r="K2" s="11" t="s">
        <v>11</v>
      </c>
      <c r="L2" s="11" t="s">
        <v>12</v>
      </c>
      <c r="M2" s="10"/>
      <c r="N2" s="11" t="s">
        <v>11</v>
      </c>
      <c r="O2" s="11" t="s">
        <v>12</v>
      </c>
      <c r="P2" s="10"/>
      <c r="Q2" s="11" t="s">
        <v>11</v>
      </c>
      <c r="R2" s="11" t="s">
        <v>12</v>
      </c>
      <c r="S2" s="10"/>
      <c r="T2" s="11" t="s">
        <v>11</v>
      </c>
      <c r="U2" s="11" t="s">
        <v>12</v>
      </c>
      <c r="V2" s="10"/>
      <c r="W2" s="10"/>
      <c r="X2" s="10"/>
    </row>
    <row r="3" spans="1:24" x14ac:dyDescent="0.2">
      <c r="A3" s="10"/>
      <c r="B3" s="1" t="s">
        <v>4</v>
      </c>
      <c r="C3" s="1" t="s">
        <v>6</v>
      </c>
      <c r="D3" s="10"/>
      <c r="E3" s="1" t="s">
        <v>4</v>
      </c>
      <c r="F3" s="1" t="s">
        <v>6</v>
      </c>
      <c r="G3" s="10"/>
      <c r="H3" s="1" t="s">
        <v>4</v>
      </c>
      <c r="I3" s="1" t="s">
        <v>6</v>
      </c>
      <c r="J3" s="10"/>
      <c r="K3" s="1" t="s">
        <v>4</v>
      </c>
      <c r="L3" s="1" t="s">
        <v>6</v>
      </c>
      <c r="M3" s="10"/>
      <c r="N3" s="1" t="s">
        <v>4</v>
      </c>
      <c r="O3" s="1" t="s">
        <v>6</v>
      </c>
      <c r="P3" s="10"/>
      <c r="Q3" s="1" t="s">
        <v>4</v>
      </c>
      <c r="R3" s="1" t="s">
        <v>6</v>
      </c>
      <c r="S3" s="10"/>
      <c r="T3" s="1" t="s">
        <v>4</v>
      </c>
      <c r="U3" s="1" t="s">
        <v>6</v>
      </c>
      <c r="V3" s="10"/>
      <c r="W3" s="10"/>
      <c r="X3" s="10"/>
    </row>
    <row r="4" spans="1:24" x14ac:dyDescent="0.2">
      <c r="A4" s="10"/>
      <c r="B4" s="1">
        <v>-40</v>
      </c>
      <c r="C4" s="1">
        <v>1.5549999999999999</v>
      </c>
      <c r="D4" s="10"/>
      <c r="E4" s="1">
        <v>-20</v>
      </c>
      <c r="F4" s="1">
        <v>1.3959999999999999</v>
      </c>
      <c r="G4" s="10"/>
      <c r="H4" s="1">
        <v>0</v>
      </c>
      <c r="I4" s="1">
        <v>1.2929999999999999</v>
      </c>
      <c r="J4" s="10"/>
      <c r="K4" s="1">
        <v>20</v>
      </c>
      <c r="L4" s="1">
        <v>1.2050000000000001</v>
      </c>
      <c r="M4" s="10"/>
      <c r="N4" s="1">
        <v>40</v>
      </c>
      <c r="O4" s="1">
        <v>1.1279999999999999</v>
      </c>
      <c r="P4" s="10"/>
      <c r="Q4" s="1">
        <v>40</v>
      </c>
      <c r="R4" s="1">
        <v>1.1279999999999999</v>
      </c>
      <c r="S4" s="10"/>
      <c r="T4" s="1">
        <v>60</v>
      </c>
      <c r="U4" s="1">
        <v>1.06</v>
      </c>
      <c r="V4" s="10"/>
      <c r="W4" s="10"/>
      <c r="X4" s="10"/>
    </row>
    <row r="5" spans="1:24" x14ac:dyDescent="0.2">
      <c r="A5" s="10"/>
      <c r="B5" s="1">
        <f>B4+1</f>
        <v>-39</v>
      </c>
      <c r="C5" s="1">
        <v>1.51</v>
      </c>
      <c r="D5" s="10"/>
      <c r="E5" s="1">
        <f>E4+1</f>
        <v>-19</v>
      </c>
      <c r="F5" s="1">
        <v>1.3939999999999999</v>
      </c>
      <c r="G5" s="10"/>
      <c r="H5" s="1">
        <f>H4+1</f>
        <v>1</v>
      </c>
      <c r="I5" s="1">
        <v>1.288</v>
      </c>
      <c r="J5" s="10"/>
      <c r="K5" s="1">
        <f>K4+1</f>
        <v>21</v>
      </c>
      <c r="L5" s="1">
        <v>1.2010000000000001</v>
      </c>
      <c r="M5" s="10"/>
      <c r="N5" s="1">
        <f>N4+1</f>
        <v>41</v>
      </c>
      <c r="O5" s="1">
        <v>1.1240000000000001</v>
      </c>
      <c r="P5" s="10"/>
      <c r="Q5" s="1">
        <f>Q4+1</f>
        <v>41</v>
      </c>
      <c r="R5" s="1">
        <v>1.1240000000000001</v>
      </c>
      <c r="S5" s="10"/>
      <c r="T5" s="1">
        <f>T4+1</f>
        <v>61</v>
      </c>
      <c r="U5" s="1">
        <v>1.0569999999999999</v>
      </c>
      <c r="V5" s="10"/>
      <c r="W5" s="10"/>
      <c r="X5" s="10"/>
    </row>
    <row r="6" spans="1:24" x14ac:dyDescent="0.2">
      <c r="A6" s="10"/>
      <c r="B6" s="1">
        <f t="shared" ref="B6:B23" si="0">B5+1</f>
        <v>-38</v>
      </c>
      <c r="C6" s="1">
        <v>1.5</v>
      </c>
      <c r="D6" s="10"/>
      <c r="E6" s="1">
        <f t="shared" ref="E6:E23" si="1">E5+1</f>
        <v>-18</v>
      </c>
      <c r="F6" s="1">
        <v>1.385</v>
      </c>
      <c r="G6" s="10"/>
      <c r="H6" s="1">
        <f t="shared" ref="H6:H23" si="2">H5+1</f>
        <v>2</v>
      </c>
      <c r="I6" s="1">
        <v>1.284</v>
      </c>
      <c r="J6" s="10"/>
      <c r="K6" s="1">
        <f t="shared" ref="K6:K23" si="3">K5+1</f>
        <v>22</v>
      </c>
      <c r="L6" s="1">
        <v>1.1970000000000001</v>
      </c>
      <c r="M6" s="10"/>
      <c r="N6" s="1">
        <f t="shared" ref="N6:N23" si="4">N5+1</f>
        <v>42</v>
      </c>
      <c r="O6" s="1">
        <v>1.121</v>
      </c>
      <c r="P6" s="10"/>
      <c r="Q6" s="1">
        <f t="shared" ref="Q6:Q23" si="5">Q5+1</f>
        <v>42</v>
      </c>
      <c r="R6" s="1">
        <v>1.121</v>
      </c>
      <c r="S6" s="10"/>
      <c r="T6" s="1">
        <f t="shared" ref="T6:T14" si="6">T5+1</f>
        <v>62</v>
      </c>
      <c r="U6" s="1">
        <v>1.054</v>
      </c>
      <c r="V6" s="10"/>
      <c r="W6" s="10"/>
      <c r="X6" s="10"/>
    </row>
    <row r="7" spans="1:24" x14ac:dyDescent="0.2">
      <c r="A7" s="10"/>
      <c r="B7" s="1">
        <f t="shared" si="0"/>
        <v>-37</v>
      </c>
      <c r="C7" s="1">
        <v>1.4950000000000001</v>
      </c>
      <c r="D7" s="10"/>
      <c r="E7" s="1">
        <f t="shared" si="1"/>
        <v>-17</v>
      </c>
      <c r="F7" s="1">
        <v>1.379</v>
      </c>
      <c r="G7" s="10"/>
      <c r="H7" s="1">
        <f t="shared" si="2"/>
        <v>3</v>
      </c>
      <c r="I7" s="1">
        <v>1.2789999999999999</v>
      </c>
      <c r="J7" s="10"/>
      <c r="K7" s="1">
        <f t="shared" si="3"/>
        <v>23</v>
      </c>
      <c r="L7" s="1">
        <v>1.1930000000000001</v>
      </c>
      <c r="M7" s="10"/>
      <c r="N7" s="1">
        <f t="shared" si="4"/>
        <v>43</v>
      </c>
      <c r="O7" s="1">
        <v>1.117</v>
      </c>
      <c r="P7" s="10"/>
      <c r="Q7" s="1">
        <f t="shared" si="5"/>
        <v>43</v>
      </c>
      <c r="R7" s="1">
        <v>1.117</v>
      </c>
      <c r="S7" s="10"/>
      <c r="T7" s="1">
        <f t="shared" si="6"/>
        <v>63</v>
      </c>
      <c r="U7" s="1">
        <v>1.0509999999999999</v>
      </c>
      <c r="V7" s="10"/>
      <c r="W7" s="10"/>
      <c r="X7" s="10"/>
    </row>
    <row r="8" spans="1:24" x14ac:dyDescent="0.2">
      <c r="A8" s="10"/>
      <c r="B8" s="1">
        <f t="shared" si="0"/>
        <v>-36</v>
      </c>
      <c r="C8" s="1">
        <v>1.49</v>
      </c>
      <c r="D8" s="10"/>
      <c r="E8" s="1">
        <f t="shared" si="1"/>
        <v>-16</v>
      </c>
      <c r="F8" s="1">
        <v>1.3740000000000001</v>
      </c>
      <c r="G8" s="10"/>
      <c r="H8" s="1">
        <f t="shared" si="2"/>
        <v>4</v>
      </c>
      <c r="I8" s="1">
        <v>1.2749999999999999</v>
      </c>
      <c r="J8" s="10"/>
      <c r="K8" s="1">
        <f t="shared" si="3"/>
        <v>24</v>
      </c>
      <c r="L8" s="1">
        <v>1.1890000000000001</v>
      </c>
      <c r="M8" s="10"/>
      <c r="N8" s="1">
        <f t="shared" si="4"/>
        <v>44</v>
      </c>
      <c r="O8" s="1">
        <v>1.1140000000000001</v>
      </c>
      <c r="P8" s="10"/>
      <c r="Q8" s="1">
        <f t="shared" si="5"/>
        <v>44</v>
      </c>
      <c r="R8" s="1">
        <v>1.1140000000000001</v>
      </c>
      <c r="S8" s="10"/>
      <c r="T8" s="1">
        <f t="shared" si="6"/>
        <v>64</v>
      </c>
      <c r="U8" s="1">
        <v>1.048</v>
      </c>
      <c r="V8" s="10"/>
      <c r="W8" s="10"/>
      <c r="X8" s="10"/>
    </row>
    <row r="9" spans="1:24" x14ac:dyDescent="0.2">
      <c r="A9" s="10"/>
      <c r="B9" s="1">
        <f t="shared" si="0"/>
        <v>-35</v>
      </c>
      <c r="C9" s="1">
        <v>1.4830000000000001</v>
      </c>
      <c r="D9" s="10"/>
      <c r="E9" s="1">
        <f t="shared" si="1"/>
        <v>-15</v>
      </c>
      <c r="F9" s="1">
        <v>1.3680000000000001</v>
      </c>
      <c r="G9" s="10"/>
      <c r="H9" s="1">
        <f t="shared" si="2"/>
        <v>5</v>
      </c>
      <c r="I9" s="1">
        <v>1.27</v>
      </c>
      <c r="J9" s="10"/>
      <c r="K9" s="1">
        <f t="shared" si="3"/>
        <v>25</v>
      </c>
      <c r="L9" s="1">
        <v>1.1850000000000001</v>
      </c>
      <c r="M9" s="10"/>
      <c r="N9" s="1">
        <f t="shared" si="4"/>
        <v>45</v>
      </c>
      <c r="O9" s="1">
        <v>1.1100000000000001</v>
      </c>
      <c r="P9" s="10"/>
      <c r="Q9" s="1">
        <f t="shared" si="5"/>
        <v>45</v>
      </c>
      <c r="R9" s="1">
        <v>1.1100000000000001</v>
      </c>
      <c r="S9" s="10"/>
      <c r="T9" s="1">
        <f t="shared" si="6"/>
        <v>65</v>
      </c>
      <c r="U9" s="1">
        <v>1.044</v>
      </c>
      <c r="V9" s="10"/>
      <c r="W9" s="10"/>
      <c r="X9" s="10"/>
    </row>
    <row r="10" spans="1:24" x14ac:dyDescent="0.2">
      <c r="A10" s="10"/>
      <c r="B10" s="1">
        <f t="shared" si="0"/>
        <v>-34</v>
      </c>
      <c r="C10" s="1">
        <v>1.476</v>
      </c>
      <c r="D10" s="10"/>
      <c r="E10" s="1">
        <f t="shared" si="1"/>
        <v>-14</v>
      </c>
      <c r="F10" s="1">
        <v>1.363</v>
      </c>
      <c r="G10" s="10"/>
      <c r="H10" s="1">
        <f t="shared" si="2"/>
        <v>6</v>
      </c>
      <c r="I10" s="1">
        <v>1.2649999999999999</v>
      </c>
      <c r="J10" s="10"/>
      <c r="K10" s="1">
        <f t="shared" si="3"/>
        <v>26</v>
      </c>
      <c r="L10" s="1">
        <v>1.181</v>
      </c>
      <c r="M10" s="10"/>
      <c r="N10" s="1">
        <f t="shared" si="4"/>
        <v>46</v>
      </c>
      <c r="O10" s="1">
        <v>1.107</v>
      </c>
      <c r="P10" s="10"/>
      <c r="Q10" s="1">
        <f t="shared" si="5"/>
        <v>46</v>
      </c>
      <c r="R10" s="1">
        <v>1.107</v>
      </c>
      <c r="S10" s="10"/>
      <c r="T10" s="1">
        <f t="shared" si="6"/>
        <v>66</v>
      </c>
      <c r="U10" s="1">
        <v>1.0409999999999999</v>
      </c>
      <c r="V10" s="10"/>
      <c r="W10" s="10"/>
      <c r="X10" s="10"/>
    </row>
    <row r="11" spans="1:24" x14ac:dyDescent="0.2">
      <c r="A11" s="10"/>
      <c r="B11" s="1">
        <f t="shared" si="0"/>
        <v>-33</v>
      </c>
      <c r="C11" s="1">
        <v>1.47</v>
      </c>
      <c r="D11" s="10"/>
      <c r="E11" s="1">
        <f t="shared" si="1"/>
        <v>-13</v>
      </c>
      <c r="F11" s="1">
        <v>1.3580000000000001</v>
      </c>
      <c r="G11" s="10"/>
      <c r="H11" s="1">
        <f t="shared" si="2"/>
        <v>7</v>
      </c>
      <c r="I11" s="1">
        <v>1.2609999999999999</v>
      </c>
      <c r="J11" s="10"/>
      <c r="K11" s="1">
        <f t="shared" si="3"/>
        <v>27</v>
      </c>
      <c r="L11" s="1">
        <v>1.177</v>
      </c>
      <c r="M11" s="10"/>
      <c r="N11" s="1">
        <f t="shared" si="4"/>
        <v>47</v>
      </c>
      <c r="O11" s="1">
        <v>1.103</v>
      </c>
      <c r="P11" s="10"/>
      <c r="Q11" s="1">
        <f t="shared" si="5"/>
        <v>47</v>
      </c>
      <c r="R11" s="1">
        <v>1.103</v>
      </c>
      <c r="S11" s="10"/>
      <c r="T11" s="1">
        <f t="shared" si="6"/>
        <v>67</v>
      </c>
      <c r="U11" s="1">
        <v>1.038</v>
      </c>
      <c r="V11" s="10"/>
      <c r="W11" s="10"/>
      <c r="X11" s="10"/>
    </row>
    <row r="12" spans="1:24" x14ac:dyDescent="0.2">
      <c r="A12" s="10"/>
      <c r="B12" s="1">
        <f t="shared" si="0"/>
        <v>-32</v>
      </c>
      <c r="C12" s="1">
        <v>1.4630000000000001</v>
      </c>
      <c r="D12" s="10"/>
      <c r="E12" s="1">
        <f t="shared" si="1"/>
        <v>-12</v>
      </c>
      <c r="F12" s="1">
        <v>1.353</v>
      </c>
      <c r="G12" s="10"/>
      <c r="H12" s="1">
        <f t="shared" si="2"/>
        <v>8</v>
      </c>
      <c r="I12" s="1">
        <v>1.256</v>
      </c>
      <c r="J12" s="10"/>
      <c r="K12" s="1">
        <f t="shared" si="3"/>
        <v>28</v>
      </c>
      <c r="L12" s="1">
        <v>1.173</v>
      </c>
      <c r="M12" s="10"/>
      <c r="N12" s="1">
        <f t="shared" si="4"/>
        <v>48</v>
      </c>
      <c r="O12" s="1">
        <v>1.1000000000000001</v>
      </c>
      <c r="P12" s="10"/>
      <c r="Q12" s="1">
        <f t="shared" si="5"/>
        <v>48</v>
      </c>
      <c r="R12" s="1">
        <v>1.1000000000000001</v>
      </c>
      <c r="S12" s="10"/>
      <c r="T12" s="1">
        <f t="shared" si="6"/>
        <v>68</v>
      </c>
      <c r="U12" s="1">
        <v>1.0349999999999999</v>
      </c>
      <c r="V12" s="10"/>
      <c r="W12" s="10"/>
      <c r="X12" s="10"/>
    </row>
    <row r="13" spans="1:24" x14ac:dyDescent="0.2">
      <c r="A13" s="10"/>
      <c r="B13" s="1">
        <f t="shared" si="0"/>
        <v>-31</v>
      </c>
      <c r="C13" s="1">
        <v>1.458</v>
      </c>
      <c r="D13" s="10"/>
      <c r="E13" s="1">
        <f t="shared" si="1"/>
        <v>-11</v>
      </c>
      <c r="F13" s="1">
        <v>1.3480000000000001</v>
      </c>
      <c r="G13" s="10"/>
      <c r="H13" s="1">
        <f t="shared" si="2"/>
        <v>9</v>
      </c>
      <c r="I13" s="1">
        <v>1.252</v>
      </c>
      <c r="J13" s="10"/>
      <c r="K13" s="1">
        <f t="shared" si="3"/>
        <v>29</v>
      </c>
      <c r="L13" s="1">
        <v>1.169</v>
      </c>
      <c r="M13" s="10"/>
      <c r="N13" s="1">
        <f t="shared" si="4"/>
        <v>49</v>
      </c>
      <c r="O13" s="1">
        <v>1.0960000000000001</v>
      </c>
      <c r="P13" s="10"/>
      <c r="Q13" s="1">
        <f t="shared" si="5"/>
        <v>49</v>
      </c>
      <c r="R13" s="1">
        <v>1.0960000000000001</v>
      </c>
      <c r="S13" s="10"/>
      <c r="T13" s="1">
        <f t="shared" si="6"/>
        <v>69</v>
      </c>
      <c r="U13" s="1">
        <v>1.032</v>
      </c>
      <c r="V13" s="10"/>
      <c r="W13" s="10"/>
      <c r="X13" s="10"/>
    </row>
    <row r="14" spans="1:24" x14ac:dyDescent="0.2">
      <c r="A14" s="10"/>
      <c r="B14" s="1">
        <f t="shared" si="0"/>
        <v>-30</v>
      </c>
      <c r="C14" s="1">
        <v>1.452</v>
      </c>
      <c r="D14" s="10"/>
      <c r="E14" s="1">
        <f t="shared" si="1"/>
        <v>-10</v>
      </c>
      <c r="F14" s="1">
        <v>1.3420000000000001</v>
      </c>
      <c r="G14" s="10"/>
      <c r="H14" s="1">
        <f t="shared" si="2"/>
        <v>10</v>
      </c>
      <c r="I14" s="1">
        <v>1.248</v>
      </c>
      <c r="J14" s="10"/>
      <c r="K14" s="1">
        <f t="shared" si="3"/>
        <v>30</v>
      </c>
      <c r="L14" s="1">
        <v>1.165</v>
      </c>
      <c r="M14" s="10"/>
      <c r="N14" s="1">
        <f t="shared" si="4"/>
        <v>50</v>
      </c>
      <c r="O14" s="1">
        <v>1.093</v>
      </c>
      <c r="P14" s="10"/>
      <c r="Q14" s="1">
        <f t="shared" si="5"/>
        <v>50</v>
      </c>
      <c r="R14" s="1">
        <v>1.093</v>
      </c>
      <c r="S14" s="10"/>
      <c r="T14" s="1">
        <f t="shared" si="6"/>
        <v>70</v>
      </c>
      <c r="U14" s="1">
        <v>1.0289999999999999</v>
      </c>
      <c r="V14" s="10"/>
      <c r="W14" s="10"/>
      <c r="X14" s="10"/>
    </row>
    <row r="15" spans="1:24" ht="13.5" thickBot="1" x14ac:dyDescent="0.25">
      <c r="A15" s="10"/>
      <c r="B15" s="1">
        <f t="shared" si="0"/>
        <v>-29</v>
      </c>
      <c r="C15" s="1">
        <v>1.446</v>
      </c>
      <c r="D15" s="10"/>
      <c r="E15" s="1">
        <f t="shared" si="1"/>
        <v>-9</v>
      </c>
      <c r="F15" s="1">
        <v>1.337</v>
      </c>
      <c r="G15" s="10"/>
      <c r="H15" s="1">
        <f t="shared" si="2"/>
        <v>11</v>
      </c>
      <c r="I15" s="1">
        <v>1.2430000000000001</v>
      </c>
      <c r="J15" s="10"/>
      <c r="K15" s="1">
        <f t="shared" si="3"/>
        <v>31</v>
      </c>
      <c r="L15" s="1">
        <v>1.161</v>
      </c>
      <c r="M15" s="10"/>
      <c r="N15" s="1">
        <f t="shared" si="4"/>
        <v>51</v>
      </c>
      <c r="O15" s="1">
        <v>1.0900000000000001</v>
      </c>
      <c r="P15" s="10"/>
      <c r="Q15" s="1">
        <f t="shared" si="5"/>
        <v>51</v>
      </c>
      <c r="R15" s="1">
        <v>1.0900000000000001</v>
      </c>
      <c r="S15" s="10"/>
      <c r="T15" s="10"/>
      <c r="U15" s="10"/>
      <c r="V15" s="10"/>
      <c r="W15" s="10"/>
      <c r="X15" s="10"/>
    </row>
    <row r="16" spans="1:24" ht="14.25" thickTop="1" thickBot="1" x14ac:dyDescent="0.25">
      <c r="A16" s="10"/>
      <c r="B16" s="1">
        <f t="shared" si="0"/>
        <v>-28</v>
      </c>
      <c r="C16" s="1">
        <v>1.44</v>
      </c>
      <c r="D16" s="10"/>
      <c r="E16" s="1">
        <f t="shared" si="1"/>
        <v>-8</v>
      </c>
      <c r="F16" s="1">
        <v>1.3320000000000001</v>
      </c>
      <c r="G16" s="10"/>
      <c r="H16" s="1">
        <f t="shared" si="2"/>
        <v>12</v>
      </c>
      <c r="I16" s="1">
        <v>1.2390000000000001</v>
      </c>
      <c r="J16" s="10"/>
      <c r="K16" s="1">
        <f t="shared" si="3"/>
        <v>32</v>
      </c>
      <c r="L16" s="1">
        <v>1.157</v>
      </c>
      <c r="M16" s="10"/>
      <c r="N16" s="1">
        <f t="shared" si="4"/>
        <v>52</v>
      </c>
      <c r="O16" s="1">
        <v>1.0860000000000001</v>
      </c>
      <c r="P16" s="10"/>
      <c r="Q16" s="1">
        <f t="shared" si="5"/>
        <v>52</v>
      </c>
      <c r="R16" s="1">
        <v>1.0860000000000001</v>
      </c>
      <c r="S16" s="10"/>
      <c r="T16" s="343" t="s">
        <v>13</v>
      </c>
      <c r="U16" s="344"/>
      <c r="V16" s="12">
        <v>9</v>
      </c>
      <c r="W16" s="10"/>
      <c r="X16" s="10"/>
    </row>
    <row r="17" spans="1:24" ht="12.75" customHeight="1" thickTop="1" thickBot="1" x14ac:dyDescent="0.3">
      <c r="A17" s="10"/>
      <c r="B17" s="1">
        <f t="shared" si="0"/>
        <v>-27</v>
      </c>
      <c r="C17" s="1">
        <v>1.4350000000000001</v>
      </c>
      <c r="D17" s="10"/>
      <c r="E17" s="1">
        <f t="shared" si="1"/>
        <v>-7</v>
      </c>
      <c r="F17" s="1">
        <v>1.327</v>
      </c>
      <c r="G17" s="10"/>
      <c r="H17" s="1">
        <f t="shared" si="2"/>
        <v>13</v>
      </c>
      <c r="I17" s="1">
        <v>1.2350000000000001</v>
      </c>
      <c r="J17" s="10"/>
      <c r="K17" s="1">
        <f t="shared" si="3"/>
        <v>33</v>
      </c>
      <c r="L17" s="1">
        <v>1.1539999999999999</v>
      </c>
      <c r="M17" s="10"/>
      <c r="N17" s="1">
        <f t="shared" si="4"/>
        <v>53</v>
      </c>
      <c r="O17" s="1">
        <v>1.083</v>
      </c>
      <c r="P17" s="10"/>
      <c r="Q17" s="1">
        <f t="shared" si="5"/>
        <v>53</v>
      </c>
      <c r="R17" s="1">
        <v>1.083</v>
      </c>
      <c r="S17" s="10"/>
      <c r="T17" s="345" t="s">
        <v>14</v>
      </c>
      <c r="U17" s="346"/>
      <c r="V17" s="13">
        <f>I4*(273+0)/(273+V16)</f>
        <v>1.2517340425531913</v>
      </c>
      <c r="W17" s="10"/>
      <c r="X17" s="10"/>
    </row>
    <row r="18" spans="1:24" ht="13.5" thickTop="1" x14ac:dyDescent="0.2">
      <c r="A18" s="10"/>
      <c r="B18" s="1">
        <f t="shared" si="0"/>
        <v>-26</v>
      </c>
      <c r="C18" s="1">
        <v>1.43</v>
      </c>
      <c r="D18" s="10"/>
      <c r="E18" s="1">
        <f t="shared" si="1"/>
        <v>-6</v>
      </c>
      <c r="F18" s="1">
        <v>1.3220000000000001</v>
      </c>
      <c r="G18" s="10"/>
      <c r="H18" s="1">
        <f t="shared" si="2"/>
        <v>14</v>
      </c>
      <c r="I18" s="1">
        <v>1.23</v>
      </c>
      <c r="J18" s="10"/>
      <c r="K18" s="1">
        <f t="shared" si="3"/>
        <v>34</v>
      </c>
      <c r="L18" s="1">
        <v>1.1499999999999999</v>
      </c>
      <c r="M18" s="10"/>
      <c r="N18" s="1">
        <f t="shared" si="4"/>
        <v>54</v>
      </c>
      <c r="O18" s="1">
        <v>1.08</v>
      </c>
      <c r="P18" s="10"/>
      <c r="Q18" s="1">
        <f t="shared" si="5"/>
        <v>54</v>
      </c>
      <c r="R18" s="1">
        <v>1.08</v>
      </c>
      <c r="S18" s="10"/>
      <c r="T18" s="10"/>
      <c r="U18" s="10"/>
      <c r="V18" s="10"/>
      <c r="W18" s="10"/>
      <c r="X18" s="10"/>
    </row>
    <row r="19" spans="1:24" x14ac:dyDescent="0.2">
      <c r="A19" s="10"/>
      <c r="B19" s="1">
        <f t="shared" si="0"/>
        <v>-25</v>
      </c>
      <c r="C19" s="1">
        <v>1.423</v>
      </c>
      <c r="D19" s="10"/>
      <c r="E19" s="1">
        <f t="shared" si="1"/>
        <v>-5</v>
      </c>
      <c r="F19" s="1">
        <v>1.3169999999999999</v>
      </c>
      <c r="G19" s="10"/>
      <c r="H19" s="1">
        <f t="shared" si="2"/>
        <v>15</v>
      </c>
      <c r="I19" s="1">
        <v>1.226</v>
      </c>
      <c r="J19" s="10"/>
      <c r="K19" s="1">
        <f t="shared" si="3"/>
        <v>35</v>
      </c>
      <c r="L19" s="1">
        <v>1.1459999999999999</v>
      </c>
      <c r="M19" s="10"/>
      <c r="N19" s="1">
        <f t="shared" si="4"/>
        <v>55</v>
      </c>
      <c r="O19" s="1">
        <v>1.0760000000000001</v>
      </c>
      <c r="P19" s="10"/>
      <c r="Q19" s="1">
        <f t="shared" si="5"/>
        <v>55</v>
      </c>
      <c r="R19" s="1">
        <v>1.0760000000000001</v>
      </c>
      <c r="S19" s="10"/>
      <c r="T19" s="347" t="s">
        <v>15</v>
      </c>
      <c r="U19" s="347"/>
      <c r="V19" s="347"/>
      <c r="W19" s="347"/>
      <c r="X19" s="10"/>
    </row>
    <row r="20" spans="1:24" x14ac:dyDescent="0.2">
      <c r="A20" s="10"/>
      <c r="B20" s="1">
        <f t="shared" si="0"/>
        <v>-24</v>
      </c>
      <c r="C20" s="1">
        <v>1.4179999999999999</v>
      </c>
      <c r="D20" s="10"/>
      <c r="E20" s="1">
        <f t="shared" si="1"/>
        <v>-4</v>
      </c>
      <c r="F20" s="1">
        <v>1.3120000000000001</v>
      </c>
      <c r="G20" s="10"/>
      <c r="H20" s="1">
        <f t="shared" si="2"/>
        <v>16</v>
      </c>
      <c r="I20" s="1">
        <v>1.222</v>
      </c>
      <c r="J20" s="10"/>
      <c r="K20" s="1">
        <f t="shared" si="3"/>
        <v>36</v>
      </c>
      <c r="L20" s="1">
        <v>1.1419999999999999</v>
      </c>
      <c r="M20" s="10"/>
      <c r="N20" s="1">
        <f t="shared" si="4"/>
        <v>56</v>
      </c>
      <c r="O20" s="1">
        <v>1.073</v>
      </c>
      <c r="P20" s="10"/>
      <c r="Q20" s="1">
        <f t="shared" si="5"/>
        <v>56</v>
      </c>
      <c r="R20" s="1">
        <v>1.073</v>
      </c>
      <c r="S20" s="10"/>
      <c r="T20" s="347" t="s">
        <v>54</v>
      </c>
      <c r="U20" s="347"/>
      <c r="V20" s="347"/>
      <c r="W20" s="347"/>
      <c r="X20" s="10"/>
    </row>
    <row r="21" spans="1:24" x14ac:dyDescent="0.2">
      <c r="A21" s="10"/>
      <c r="B21" s="1">
        <f t="shared" si="0"/>
        <v>-23</v>
      </c>
      <c r="C21" s="1">
        <v>1.411</v>
      </c>
      <c r="D21" s="10"/>
      <c r="E21" s="1">
        <f t="shared" si="1"/>
        <v>-3</v>
      </c>
      <c r="F21" s="1">
        <v>1.3080000000000001</v>
      </c>
      <c r="G21" s="10"/>
      <c r="H21" s="1">
        <f t="shared" si="2"/>
        <v>17</v>
      </c>
      <c r="I21" s="1">
        <v>1.2170000000000001</v>
      </c>
      <c r="J21" s="10"/>
      <c r="K21" s="1">
        <f t="shared" si="3"/>
        <v>37</v>
      </c>
      <c r="L21" s="1">
        <v>1.139</v>
      </c>
      <c r="M21" s="10"/>
      <c r="N21" s="1">
        <f t="shared" si="4"/>
        <v>57</v>
      </c>
      <c r="O21" s="1">
        <v>1.07</v>
      </c>
      <c r="P21" s="10"/>
      <c r="Q21" s="1">
        <f t="shared" si="5"/>
        <v>57</v>
      </c>
      <c r="R21" s="1">
        <v>1.07</v>
      </c>
      <c r="S21" s="10"/>
      <c r="T21" s="347" t="s">
        <v>16</v>
      </c>
      <c r="U21" s="347"/>
      <c r="V21" s="347"/>
      <c r="W21" s="347"/>
      <c r="X21" s="10"/>
    </row>
    <row r="22" spans="1:24" x14ac:dyDescent="0.2">
      <c r="A22" s="10"/>
      <c r="B22" s="1">
        <f t="shared" si="0"/>
        <v>-22</v>
      </c>
      <c r="C22" s="1">
        <v>1.405</v>
      </c>
      <c r="D22" s="10"/>
      <c r="E22" s="1">
        <f t="shared" si="1"/>
        <v>-2</v>
      </c>
      <c r="F22" s="1">
        <v>1.3029999999999999</v>
      </c>
      <c r="G22" s="10"/>
      <c r="H22" s="1">
        <f t="shared" si="2"/>
        <v>18</v>
      </c>
      <c r="I22" s="1">
        <v>1.2130000000000001</v>
      </c>
      <c r="J22" s="10"/>
      <c r="K22" s="1">
        <f t="shared" si="3"/>
        <v>38</v>
      </c>
      <c r="L22" s="1">
        <v>1.135</v>
      </c>
      <c r="M22" s="10"/>
      <c r="N22" s="1">
        <f t="shared" si="4"/>
        <v>58</v>
      </c>
      <c r="O22" s="1">
        <v>1.0669999999999999</v>
      </c>
      <c r="P22" s="10"/>
      <c r="Q22" s="1">
        <f t="shared" si="5"/>
        <v>58</v>
      </c>
      <c r="R22" s="1">
        <v>1.0669999999999999</v>
      </c>
      <c r="S22" s="10"/>
      <c r="T22" s="347" t="s">
        <v>17</v>
      </c>
      <c r="U22" s="347"/>
      <c r="V22" s="347"/>
      <c r="W22" s="347"/>
      <c r="X22" s="10"/>
    </row>
    <row r="23" spans="1:24" x14ac:dyDescent="0.2">
      <c r="A23" s="10"/>
      <c r="B23" s="1">
        <f t="shared" si="0"/>
        <v>-21</v>
      </c>
      <c r="C23" s="1">
        <v>1.4</v>
      </c>
      <c r="D23" s="10"/>
      <c r="E23" s="1">
        <f t="shared" si="1"/>
        <v>-1</v>
      </c>
      <c r="F23" s="1">
        <v>1.298</v>
      </c>
      <c r="G23" s="10"/>
      <c r="H23" s="1">
        <f t="shared" si="2"/>
        <v>19</v>
      </c>
      <c r="I23" s="1">
        <v>1.2090000000000001</v>
      </c>
      <c r="J23" s="10"/>
      <c r="K23" s="1">
        <f t="shared" si="3"/>
        <v>39</v>
      </c>
      <c r="L23" s="1">
        <v>1.1319999999999999</v>
      </c>
      <c r="M23" s="10"/>
      <c r="N23" s="1">
        <f t="shared" si="4"/>
        <v>59</v>
      </c>
      <c r="O23" s="1">
        <v>1.0629999999999999</v>
      </c>
      <c r="P23" s="10"/>
      <c r="Q23" s="1">
        <f t="shared" si="5"/>
        <v>59</v>
      </c>
      <c r="R23" s="1">
        <v>1.0629999999999999</v>
      </c>
      <c r="S23" s="10"/>
      <c r="T23" s="10"/>
      <c r="U23" s="10"/>
      <c r="V23" s="10"/>
      <c r="W23" s="10"/>
      <c r="X23" s="10"/>
    </row>
    <row r="24" spans="1:24" x14ac:dyDescent="0.2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</sheetData>
  <sheetProtection password="C855" sheet="1" objects="1" scenarios="1"/>
  <mergeCells count="6">
    <mergeCell ref="T16:U16"/>
    <mergeCell ref="T17:U17"/>
    <mergeCell ref="T22:W22"/>
    <mergeCell ref="T19:W19"/>
    <mergeCell ref="T20:W20"/>
    <mergeCell ref="T21:W21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zoomScale="205" zoomScaleNormal="205" workbookViewId="0">
      <selection activeCell="C5" sqref="C5"/>
    </sheetView>
  </sheetViews>
  <sheetFormatPr defaultRowHeight="12.75" x14ac:dyDescent="0.2"/>
  <cols>
    <col min="1" max="1" width="3.28515625" customWidth="1"/>
    <col min="2" max="2" width="14.5703125" customWidth="1"/>
    <col min="3" max="3" width="13.7109375" customWidth="1"/>
  </cols>
  <sheetData>
    <row r="1" spans="1:12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ht="13.5" thickTop="1" x14ac:dyDescent="0.2">
      <c r="A2" s="6"/>
      <c r="B2" s="352" t="s">
        <v>82</v>
      </c>
      <c r="C2" s="350" t="s">
        <v>81</v>
      </c>
      <c r="D2" s="354" t="s">
        <v>73</v>
      </c>
      <c r="E2" s="354" t="s">
        <v>84</v>
      </c>
      <c r="F2" s="354" t="s">
        <v>67</v>
      </c>
      <c r="G2" s="354" t="s">
        <v>75</v>
      </c>
      <c r="H2" s="354" t="s">
        <v>76</v>
      </c>
      <c r="I2" s="354" t="s">
        <v>77</v>
      </c>
      <c r="J2" s="354" t="s">
        <v>78</v>
      </c>
      <c r="K2" s="348" t="s">
        <v>85</v>
      </c>
      <c r="L2" s="6"/>
    </row>
    <row r="3" spans="1:12" x14ac:dyDescent="0.2">
      <c r="A3" s="6"/>
      <c r="B3" s="353"/>
      <c r="C3" s="351"/>
      <c r="D3" s="355"/>
      <c r="E3" s="355"/>
      <c r="F3" s="355"/>
      <c r="G3" s="355"/>
      <c r="H3" s="355"/>
      <c r="I3" s="355"/>
      <c r="J3" s="355"/>
      <c r="K3" s="349"/>
      <c r="L3" s="6"/>
    </row>
    <row r="4" spans="1:12" ht="27.75" customHeight="1" x14ac:dyDescent="0.2">
      <c r="A4" s="6"/>
      <c r="B4" s="81" t="s">
        <v>5</v>
      </c>
      <c r="C4" s="1" t="s">
        <v>6</v>
      </c>
      <c r="D4" s="1">
        <v>1.9970000000000001</v>
      </c>
      <c r="E4" s="1">
        <v>0.77139999999999997</v>
      </c>
      <c r="F4" s="1">
        <v>1.2927999999999999</v>
      </c>
      <c r="G4" s="1">
        <v>1.2504599999999999</v>
      </c>
      <c r="H4" s="1">
        <v>1.4289499999999999</v>
      </c>
      <c r="I4" s="1">
        <v>8.9880000000000002E-2</v>
      </c>
      <c r="J4" s="1">
        <v>0.71679999999999999</v>
      </c>
      <c r="K4" s="82">
        <v>1.1747000000000001</v>
      </c>
      <c r="L4" s="6"/>
    </row>
    <row r="5" spans="1:12" ht="25.5" x14ac:dyDescent="0.2">
      <c r="A5" s="6"/>
      <c r="B5" s="83" t="s">
        <v>694</v>
      </c>
      <c r="C5" s="84"/>
      <c r="D5" s="84">
        <v>44.01</v>
      </c>
      <c r="E5" s="84">
        <v>17.03</v>
      </c>
      <c r="F5" s="84">
        <v>28.96</v>
      </c>
      <c r="G5" s="84">
        <v>28.015999999999998</v>
      </c>
      <c r="H5" s="84">
        <v>32</v>
      </c>
      <c r="I5" s="84">
        <v>2.016</v>
      </c>
      <c r="J5" s="84">
        <v>16.04</v>
      </c>
      <c r="K5" s="85">
        <v>16.03</v>
      </c>
      <c r="L5" s="6"/>
    </row>
    <row r="6" spans="1:12" ht="27.75" customHeight="1" thickBot="1" x14ac:dyDescent="0.25">
      <c r="A6" s="6"/>
      <c r="B6" s="86" t="s">
        <v>83</v>
      </c>
      <c r="C6" s="87" t="s">
        <v>86</v>
      </c>
      <c r="D6" s="87">
        <v>30.26</v>
      </c>
      <c r="E6" s="87">
        <v>49.79</v>
      </c>
      <c r="F6" s="87">
        <v>29.27</v>
      </c>
      <c r="G6" s="87">
        <v>30.26</v>
      </c>
      <c r="H6" s="87">
        <v>26.5</v>
      </c>
      <c r="I6" s="87">
        <v>420.56</v>
      </c>
      <c r="J6" s="87">
        <v>52.85</v>
      </c>
      <c r="K6" s="88">
        <v>32.590000000000003</v>
      </c>
      <c r="L6" s="6"/>
    </row>
    <row r="7" spans="1:12" ht="26.25" hidden="1" customHeight="1" x14ac:dyDescent="0.2">
      <c r="A7" s="6"/>
      <c r="B7" s="80"/>
      <c r="C7" s="80"/>
      <c r="L7" s="6"/>
    </row>
    <row r="8" spans="1:12" ht="13.5" thickTop="1" x14ac:dyDescent="0.2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</row>
    <row r="9" spans="1:12" x14ac:dyDescent="0.2">
      <c r="A9" s="89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</row>
    <row r="10" spans="1:12" x14ac:dyDescent="0.2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</row>
    <row r="11" spans="1:12" x14ac:dyDescent="0.2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</row>
    <row r="12" spans="1:12" x14ac:dyDescent="0.2">
      <c r="A12" s="89"/>
      <c r="B12" s="89"/>
      <c r="C12" s="89"/>
      <c r="D12" s="89"/>
      <c r="E12" s="89"/>
      <c r="F12" s="89"/>
      <c r="G12" s="89"/>
      <c r="H12" s="89"/>
      <c r="I12" s="89"/>
      <c r="J12" s="89"/>
      <c r="K12" s="89"/>
      <c r="L12" s="89"/>
    </row>
    <row r="13" spans="1:12" x14ac:dyDescent="0.2">
      <c r="A13" s="89"/>
      <c r="B13" s="89"/>
      <c r="C13" s="89"/>
      <c r="D13" s="89"/>
      <c r="E13" s="89"/>
      <c r="F13" s="89"/>
      <c r="G13" s="89"/>
      <c r="H13" s="89"/>
      <c r="I13" s="89"/>
      <c r="J13" s="89"/>
      <c r="K13" s="89"/>
      <c r="L13" s="89"/>
    </row>
    <row r="14" spans="1:12" x14ac:dyDescent="0.2">
      <c r="A14" s="89"/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</row>
    <row r="15" spans="1:12" x14ac:dyDescent="0.2">
      <c r="A15" s="89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</row>
    <row r="16" spans="1:12" x14ac:dyDescent="0.2">
      <c r="A16" s="89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</row>
    <row r="17" spans="1:12" x14ac:dyDescent="0.2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</row>
    <row r="18" spans="1:12" x14ac:dyDescent="0.2">
      <c r="A18" s="89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2">
      <c r="A19" s="89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</row>
    <row r="20" spans="1:12" x14ac:dyDescent="0.2">
      <c r="A20" s="89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</row>
    <row r="21" spans="1:12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mergeCells count="10">
    <mergeCell ref="K2:K3"/>
    <mergeCell ref="C2:C3"/>
    <mergeCell ref="B2:B3"/>
    <mergeCell ref="G2:G3"/>
    <mergeCell ref="H2:H3"/>
    <mergeCell ref="I2:I3"/>
    <mergeCell ref="J2:J3"/>
    <mergeCell ref="D2:D3"/>
    <mergeCell ref="E2:E3"/>
    <mergeCell ref="F2:F3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showGridLines="0" zoomScale="175" zoomScaleNormal="175" workbookViewId="0">
      <selection activeCell="H4" sqref="H4"/>
    </sheetView>
  </sheetViews>
  <sheetFormatPr defaultRowHeight="12.75" x14ac:dyDescent="0.2"/>
  <cols>
    <col min="1" max="1" width="2.5703125" customWidth="1"/>
    <col min="2" max="2" width="4.42578125" customWidth="1"/>
    <col min="3" max="4" width="7" customWidth="1"/>
    <col min="7" max="7" width="10.85546875" customWidth="1"/>
    <col min="8" max="8" width="14.28515625" customWidth="1"/>
    <col min="9" max="9" width="14.42578125" customWidth="1"/>
    <col min="10" max="10" width="15.7109375" customWidth="1"/>
    <col min="11" max="11" width="7.42578125" customWidth="1"/>
  </cols>
  <sheetData>
    <row r="1" spans="1:12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ht="31.5" customHeight="1" thickTop="1" x14ac:dyDescent="0.2">
      <c r="A2" s="6"/>
      <c r="B2" s="49" t="s">
        <v>11</v>
      </c>
      <c r="C2" s="50" t="s">
        <v>40</v>
      </c>
      <c r="D2" s="50" t="s">
        <v>42</v>
      </c>
      <c r="E2" s="50" t="s">
        <v>7</v>
      </c>
      <c r="F2" s="50" t="s">
        <v>43</v>
      </c>
      <c r="G2" s="50" t="s">
        <v>45</v>
      </c>
      <c r="H2" s="253" t="s">
        <v>397</v>
      </c>
      <c r="I2" s="51" t="s">
        <v>50</v>
      </c>
      <c r="J2" s="253" t="s">
        <v>396</v>
      </c>
      <c r="K2" s="52" t="s">
        <v>49</v>
      </c>
      <c r="L2" s="6"/>
    </row>
    <row r="3" spans="1:12" x14ac:dyDescent="0.2">
      <c r="A3" s="6"/>
      <c r="B3" s="53" t="s">
        <v>4</v>
      </c>
      <c r="C3" s="42" t="s">
        <v>41</v>
      </c>
      <c r="D3" s="42" t="s">
        <v>34</v>
      </c>
      <c r="E3" s="42" t="s">
        <v>8</v>
      </c>
      <c r="F3" s="42" t="s">
        <v>44</v>
      </c>
      <c r="G3" s="42" t="s">
        <v>46</v>
      </c>
      <c r="H3" s="42" t="s">
        <v>47</v>
      </c>
      <c r="I3" s="42" t="s">
        <v>48</v>
      </c>
      <c r="J3" s="42" t="s">
        <v>22</v>
      </c>
      <c r="K3" s="54"/>
      <c r="L3" s="6"/>
    </row>
    <row r="4" spans="1:12" x14ac:dyDescent="0.2">
      <c r="A4" s="6"/>
      <c r="B4" s="53">
        <v>0</v>
      </c>
      <c r="C4" s="42">
        <v>0</v>
      </c>
      <c r="D4" s="43">
        <v>999.8</v>
      </c>
      <c r="E4" s="44">
        <v>0</v>
      </c>
      <c r="F4" s="45">
        <v>1.0049999999999999</v>
      </c>
      <c r="G4" s="45">
        <v>0.48</v>
      </c>
      <c r="H4" s="46">
        <v>4.8000000000000001E-4</v>
      </c>
      <c r="I4" s="47">
        <v>1.8249999999999999E-4</v>
      </c>
      <c r="J4" s="48">
        <v>1.79E-6</v>
      </c>
      <c r="K4" s="55">
        <f>J4/H4*3600</f>
        <v>13.425000000000001</v>
      </c>
      <c r="L4" s="6"/>
    </row>
    <row r="5" spans="1:12" x14ac:dyDescent="0.2">
      <c r="A5" s="6"/>
      <c r="B5" s="53">
        <v>10</v>
      </c>
      <c r="C5" s="42">
        <v>0</v>
      </c>
      <c r="D5" s="43">
        <v>999.6</v>
      </c>
      <c r="E5" s="44">
        <v>10.01</v>
      </c>
      <c r="F5" s="45">
        <v>1.0009999999999999</v>
      </c>
      <c r="G5" s="45">
        <v>0.48399999999999999</v>
      </c>
      <c r="H5" s="46">
        <v>4.8999999999999998E-4</v>
      </c>
      <c r="I5" s="47">
        <v>1.3300000000000001E-4</v>
      </c>
      <c r="J5" s="48">
        <v>1.3E-6</v>
      </c>
      <c r="K5" s="55">
        <f t="shared" ref="K5:K22" si="0">J5/H5*3600</f>
        <v>9.5510204081632661</v>
      </c>
      <c r="L5" s="6"/>
    </row>
    <row r="6" spans="1:12" x14ac:dyDescent="0.2">
      <c r="A6" s="6"/>
      <c r="B6" s="53">
        <v>20</v>
      </c>
      <c r="C6" s="42">
        <v>0</v>
      </c>
      <c r="D6" s="43">
        <v>998.2</v>
      </c>
      <c r="E6" s="44">
        <v>20.03</v>
      </c>
      <c r="F6" s="45">
        <v>0.999</v>
      </c>
      <c r="G6" s="45">
        <v>0.51</v>
      </c>
      <c r="H6" s="46">
        <v>5.1000000000000004E-4</v>
      </c>
      <c r="I6" s="47">
        <v>1.02E-4</v>
      </c>
      <c r="J6" s="48">
        <v>9.9999999999999995E-7</v>
      </c>
      <c r="K6" s="55">
        <f t="shared" si="0"/>
        <v>7.0588235294117645</v>
      </c>
      <c r="L6" s="6"/>
    </row>
    <row r="7" spans="1:12" x14ac:dyDescent="0.2">
      <c r="A7" s="6"/>
      <c r="B7" s="53">
        <v>30</v>
      </c>
      <c r="C7" s="42">
        <v>0</v>
      </c>
      <c r="D7" s="43">
        <v>995.6</v>
      </c>
      <c r="E7" s="44">
        <v>30</v>
      </c>
      <c r="F7" s="45">
        <v>0.998</v>
      </c>
      <c r="G7" s="45">
        <v>0.52500000000000002</v>
      </c>
      <c r="H7" s="46">
        <v>5.2999999999999998E-4</v>
      </c>
      <c r="I7" s="47">
        <v>8.1699999999999994E-5</v>
      </c>
      <c r="J7" s="48">
        <v>8.0500000000000002E-7</v>
      </c>
      <c r="K7" s="55">
        <f t="shared" si="0"/>
        <v>5.4679245283018867</v>
      </c>
      <c r="L7" s="6"/>
    </row>
    <row r="8" spans="1:12" x14ac:dyDescent="0.2">
      <c r="A8" s="6"/>
      <c r="B8" s="53">
        <v>40</v>
      </c>
      <c r="C8" s="42">
        <v>0</v>
      </c>
      <c r="D8" s="43">
        <v>992.2</v>
      </c>
      <c r="E8" s="44">
        <v>39.979999999999997</v>
      </c>
      <c r="F8" s="45">
        <v>0.998</v>
      </c>
      <c r="G8" s="45">
        <v>0.53900000000000003</v>
      </c>
      <c r="H8" s="46">
        <v>5.4000000000000001E-4</v>
      </c>
      <c r="I8" s="47">
        <v>6.6600000000000006E-5</v>
      </c>
      <c r="J8" s="48">
        <v>6.5899999999999996E-7</v>
      </c>
      <c r="K8" s="55">
        <f t="shared" si="0"/>
        <v>4.3933333333333335</v>
      </c>
      <c r="L8" s="6"/>
    </row>
    <row r="9" spans="1:12" x14ac:dyDescent="0.2">
      <c r="A9" s="6"/>
      <c r="B9" s="53">
        <v>50</v>
      </c>
      <c r="C9" s="42">
        <v>0</v>
      </c>
      <c r="D9" s="43">
        <v>988</v>
      </c>
      <c r="E9" s="44">
        <v>49.95</v>
      </c>
      <c r="F9" s="45">
        <v>0.999</v>
      </c>
      <c r="G9" s="45">
        <v>0.55200000000000005</v>
      </c>
      <c r="H9" s="46">
        <v>5.5999999999999995E-4</v>
      </c>
      <c r="I9" s="47">
        <v>5.5999999999999999E-5</v>
      </c>
      <c r="J9" s="48">
        <v>5.5599999999999995E-7</v>
      </c>
      <c r="K9" s="55">
        <f t="shared" si="0"/>
        <v>3.5742857142857138</v>
      </c>
      <c r="L9" s="6"/>
    </row>
    <row r="10" spans="1:12" x14ac:dyDescent="0.2">
      <c r="A10" s="6"/>
      <c r="B10" s="53">
        <v>60</v>
      </c>
      <c r="C10" s="42">
        <v>0</v>
      </c>
      <c r="D10" s="43">
        <v>983.2</v>
      </c>
      <c r="E10" s="44">
        <v>59.94</v>
      </c>
      <c r="F10" s="45">
        <v>0.999</v>
      </c>
      <c r="G10" s="45">
        <v>0.56499999999999995</v>
      </c>
      <c r="H10" s="46">
        <v>5.6999999999999998E-4</v>
      </c>
      <c r="I10" s="47">
        <v>4.8000000000000001E-5</v>
      </c>
      <c r="J10" s="48">
        <v>4.7899999999999999E-7</v>
      </c>
      <c r="K10" s="55">
        <f t="shared" si="0"/>
        <v>3.0252631578947367</v>
      </c>
      <c r="L10" s="6"/>
    </row>
    <row r="11" spans="1:12" x14ac:dyDescent="0.2">
      <c r="A11" s="6"/>
      <c r="B11" s="53">
        <v>70</v>
      </c>
      <c r="C11" s="42">
        <v>0</v>
      </c>
      <c r="D11" s="43">
        <v>977.7</v>
      </c>
      <c r="E11" s="44">
        <v>69.930000000000007</v>
      </c>
      <c r="F11" s="45">
        <v>1.0009999999999999</v>
      </c>
      <c r="G11" s="45">
        <v>0.57399999999999995</v>
      </c>
      <c r="H11" s="46">
        <v>5.9000000000000003E-4</v>
      </c>
      <c r="I11" s="47">
        <v>4.1399999999999997E-5</v>
      </c>
      <c r="J11" s="48">
        <v>4.15E-7</v>
      </c>
      <c r="K11" s="55">
        <f t="shared" si="0"/>
        <v>2.5322033898305083</v>
      </c>
      <c r="L11" s="6"/>
    </row>
    <row r="12" spans="1:12" x14ac:dyDescent="0.2">
      <c r="A12" s="6"/>
      <c r="B12" s="53">
        <v>80</v>
      </c>
      <c r="C12" s="42">
        <v>0</v>
      </c>
      <c r="D12" s="43">
        <v>971.8</v>
      </c>
      <c r="E12" s="44">
        <v>79.95</v>
      </c>
      <c r="F12" s="45">
        <v>1.002</v>
      </c>
      <c r="G12" s="45">
        <v>0.58099999999999996</v>
      </c>
      <c r="H12" s="46">
        <v>5.9999999999999995E-4</v>
      </c>
      <c r="I12" s="47">
        <v>3.6300000000000001E-5</v>
      </c>
      <c r="J12" s="48">
        <v>3.6600000000000002E-7</v>
      </c>
      <c r="K12" s="55">
        <f t="shared" si="0"/>
        <v>2.1960000000000002</v>
      </c>
      <c r="L12" s="6"/>
    </row>
    <row r="13" spans="1:12" x14ac:dyDescent="0.2">
      <c r="A13" s="6"/>
      <c r="B13" s="53">
        <v>90</v>
      </c>
      <c r="C13" s="42">
        <v>0</v>
      </c>
      <c r="D13" s="43">
        <v>935.3</v>
      </c>
      <c r="E13" s="44">
        <v>89.98</v>
      </c>
      <c r="F13" s="45">
        <v>1.0049999999999999</v>
      </c>
      <c r="G13" s="45">
        <v>0.58499999999999996</v>
      </c>
      <c r="H13" s="46">
        <v>6.0999999999999997E-4</v>
      </c>
      <c r="I13" s="47">
        <v>3.2100000000000001E-5</v>
      </c>
      <c r="J13" s="48">
        <v>3.2599999999999998E-7</v>
      </c>
      <c r="K13" s="55">
        <f t="shared" si="0"/>
        <v>1.9239344262295082</v>
      </c>
      <c r="L13" s="6"/>
    </row>
    <row r="14" spans="1:12" x14ac:dyDescent="0.2">
      <c r="A14" s="6"/>
      <c r="B14" s="53">
        <v>100</v>
      </c>
      <c r="C14" s="42">
        <v>0.03</v>
      </c>
      <c r="D14" s="43">
        <v>958.3</v>
      </c>
      <c r="E14" s="44">
        <v>100.04</v>
      </c>
      <c r="F14" s="45">
        <v>1.0069999999999999</v>
      </c>
      <c r="G14" s="45">
        <v>0.58699999999999997</v>
      </c>
      <c r="H14" s="46">
        <v>6.0999999999999997E-4</v>
      </c>
      <c r="I14" s="47">
        <v>2.8799999999999999E-5</v>
      </c>
      <c r="J14" s="48">
        <v>2.9499999999999998E-7</v>
      </c>
      <c r="K14" s="55">
        <f t="shared" si="0"/>
        <v>1.7409836065573769</v>
      </c>
      <c r="L14" s="6"/>
    </row>
    <row r="15" spans="1:12" x14ac:dyDescent="0.2">
      <c r="A15" s="6"/>
      <c r="B15" s="53">
        <v>110</v>
      </c>
      <c r="C15" s="42">
        <v>0.46</v>
      </c>
      <c r="D15" s="43">
        <v>951</v>
      </c>
      <c r="E15" s="44">
        <v>110.12</v>
      </c>
      <c r="F15" s="45">
        <v>1.01</v>
      </c>
      <c r="G15" s="45">
        <v>0.58899999999999997</v>
      </c>
      <c r="H15" s="46">
        <v>6.0999999999999997E-4</v>
      </c>
      <c r="I15" s="47">
        <v>2.5999999999999998E-5</v>
      </c>
      <c r="J15" s="48">
        <v>2.6800000000000002E-7</v>
      </c>
      <c r="K15" s="55">
        <f t="shared" si="0"/>
        <v>1.5816393442622954</v>
      </c>
      <c r="L15" s="6"/>
    </row>
    <row r="16" spans="1:12" x14ac:dyDescent="0.2">
      <c r="A16" s="6"/>
      <c r="B16" s="53">
        <v>120</v>
      </c>
      <c r="C16" s="42">
        <v>1.02</v>
      </c>
      <c r="D16" s="43">
        <v>943.1</v>
      </c>
      <c r="E16" s="44">
        <v>120.3</v>
      </c>
      <c r="F16" s="45">
        <v>1.014</v>
      </c>
      <c r="G16" s="45">
        <v>0.59</v>
      </c>
      <c r="H16" s="46">
        <v>6.2E-4</v>
      </c>
      <c r="I16" s="47">
        <v>2.3499999999999999E-5</v>
      </c>
      <c r="J16" s="48">
        <v>2.4400000000000001E-7</v>
      </c>
      <c r="K16" s="55">
        <f t="shared" si="0"/>
        <v>1.4167741935483871</v>
      </c>
      <c r="L16" s="6"/>
    </row>
    <row r="17" spans="1:12" x14ac:dyDescent="0.2">
      <c r="A17" s="6"/>
      <c r="B17" s="53">
        <v>130</v>
      </c>
      <c r="C17" s="42">
        <v>1.75</v>
      </c>
      <c r="D17" s="43">
        <v>934.8</v>
      </c>
      <c r="E17" s="44">
        <v>130.4</v>
      </c>
      <c r="F17" s="45">
        <v>1.0189999999999999</v>
      </c>
      <c r="G17" s="45">
        <v>0.59</v>
      </c>
      <c r="H17" s="46">
        <v>6.2E-4</v>
      </c>
      <c r="I17" s="47">
        <v>2.16E-5</v>
      </c>
      <c r="J17" s="48">
        <v>2.2600000000000001E-7</v>
      </c>
      <c r="K17" s="55">
        <f t="shared" si="0"/>
        <v>1.312258064516129</v>
      </c>
      <c r="L17" s="6"/>
    </row>
    <row r="18" spans="1:12" x14ac:dyDescent="0.2">
      <c r="A18" s="6"/>
      <c r="B18" s="53">
        <v>140</v>
      </c>
      <c r="C18" s="42">
        <v>2.68</v>
      </c>
      <c r="D18" s="43">
        <v>926.1</v>
      </c>
      <c r="E18" s="44">
        <v>140.4</v>
      </c>
      <c r="F18" s="45">
        <v>1.0249999999999999</v>
      </c>
      <c r="G18" s="45">
        <v>0.58899999999999997</v>
      </c>
      <c r="H18" s="46">
        <v>6.2E-4</v>
      </c>
      <c r="I18" s="47">
        <v>2.0000000000000002E-5</v>
      </c>
      <c r="J18" s="48">
        <v>2.1199999999999999E-7</v>
      </c>
      <c r="K18" s="55">
        <f t="shared" si="0"/>
        <v>1.2309677419354839</v>
      </c>
      <c r="L18" s="6"/>
    </row>
    <row r="19" spans="1:12" x14ac:dyDescent="0.2">
      <c r="A19" s="6"/>
      <c r="B19" s="53">
        <v>150</v>
      </c>
      <c r="C19" s="42">
        <v>3.85</v>
      </c>
      <c r="D19" s="43">
        <v>916.9</v>
      </c>
      <c r="E19" s="44">
        <v>150.9</v>
      </c>
      <c r="F19" s="45">
        <v>1.032</v>
      </c>
      <c r="G19" s="45">
        <v>0.58799999999999997</v>
      </c>
      <c r="H19" s="46">
        <v>6.2E-4</v>
      </c>
      <c r="I19" s="47">
        <v>1.8899999999999999E-5</v>
      </c>
      <c r="J19" s="42">
        <v>2.0200000000000001E-7</v>
      </c>
      <c r="K19" s="55">
        <f t="shared" si="0"/>
        <v>1.1729032258064518</v>
      </c>
      <c r="L19" s="6"/>
    </row>
    <row r="20" spans="1:12" x14ac:dyDescent="0.2">
      <c r="A20" s="6"/>
      <c r="B20" s="53">
        <v>160</v>
      </c>
      <c r="C20" s="42">
        <v>5.3</v>
      </c>
      <c r="D20" s="43">
        <v>907.4</v>
      </c>
      <c r="E20" s="44">
        <v>161.30000000000001</v>
      </c>
      <c r="F20" s="45">
        <v>1.04</v>
      </c>
      <c r="G20" s="45">
        <v>0.58699999999999997</v>
      </c>
      <c r="H20" s="46">
        <v>6.2E-4</v>
      </c>
      <c r="I20" s="47">
        <v>1.7900000000000001E-5</v>
      </c>
      <c r="J20" s="48">
        <v>1.9000000000000001E-7</v>
      </c>
      <c r="K20" s="55">
        <f t="shared" si="0"/>
        <v>1.1032258064516129</v>
      </c>
      <c r="L20" s="6"/>
    </row>
    <row r="21" spans="1:12" x14ac:dyDescent="0.2">
      <c r="A21" s="6"/>
      <c r="B21" s="53">
        <v>170</v>
      </c>
      <c r="C21" s="42">
        <v>7.08</v>
      </c>
      <c r="D21" s="43">
        <v>897.3</v>
      </c>
      <c r="E21" s="44">
        <v>171.7</v>
      </c>
      <c r="F21" s="45">
        <v>1.048</v>
      </c>
      <c r="G21" s="45">
        <v>0.58399999999999996</v>
      </c>
      <c r="H21" s="46">
        <v>6.2E-4</v>
      </c>
      <c r="I21" s="47">
        <v>1.66E-5</v>
      </c>
      <c r="J21" s="48">
        <v>1.8099999999999999E-7</v>
      </c>
      <c r="K21" s="55">
        <f t="shared" si="0"/>
        <v>1.0509677419354837</v>
      </c>
      <c r="L21" s="6"/>
    </row>
    <row r="22" spans="1:12" ht="13.5" thickBot="1" x14ac:dyDescent="0.25">
      <c r="A22" s="6"/>
      <c r="B22" s="56">
        <v>180</v>
      </c>
      <c r="C22" s="57">
        <v>9.23</v>
      </c>
      <c r="D22" s="58">
        <v>886.9</v>
      </c>
      <c r="E22" s="59">
        <v>182.2</v>
      </c>
      <c r="F22" s="60">
        <v>1.0569999999999999</v>
      </c>
      <c r="G22" s="60">
        <v>0.57999999999999996</v>
      </c>
      <c r="H22" s="61">
        <v>6.2E-4</v>
      </c>
      <c r="I22" s="62">
        <v>1.56E-5</v>
      </c>
      <c r="J22" s="63">
        <v>1.73E-7</v>
      </c>
      <c r="K22" s="64">
        <f t="shared" si="0"/>
        <v>1.004516129032258</v>
      </c>
      <c r="L22" s="6"/>
    </row>
    <row r="23" spans="1:12" ht="13.5" thickTop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sheetProtection sheet="1" objects="1" scenarios="1"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showGridLines="0" zoomScale="190" zoomScaleNormal="190" workbookViewId="0">
      <selection activeCell="H2" sqref="H2:I2"/>
    </sheetView>
  </sheetViews>
  <sheetFormatPr defaultRowHeight="12.75" x14ac:dyDescent="0.2"/>
  <cols>
    <col min="1" max="1" width="3.5703125" customWidth="1"/>
    <col min="5" max="5" width="10" customWidth="1"/>
    <col min="11" max="11" width="10.85546875" customWidth="1"/>
  </cols>
  <sheetData>
    <row r="1" spans="1:13" x14ac:dyDescent="0.2">
      <c r="A1" s="2"/>
      <c r="B1" s="2"/>
      <c r="C1" s="2"/>
      <c r="D1" s="2"/>
      <c r="E1" s="2"/>
      <c r="F1" s="2"/>
      <c r="G1" s="357"/>
      <c r="H1" s="2"/>
      <c r="I1" s="2"/>
      <c r="J1" s="2"/>
      <c r="K1" s="2"/>
      <c r="L1" s="2"/>
      <c r="M1" s="2"/>
    </row>
    <row r="2" spans="1:13" ht="25.5" x14ac:dyDescent="0.2">
      <c r="A2" s="2"/>
      <c r="B2" s="356" t="s">
        <v>2</v>
      </c>
      <c r="C2" s="356"/>
      <c r="D2" s="3" t="s">
        <v>3</v>
      </c>
      <c r="E2" s="3" t="s">
        <v>5</v>
      </c>
      <c r="F2" s="4" t="s">
        <v>7</v>
      </c>
      <c r="G2" s="357"/>
      <c r="H2" s="356" t="s">
        <v>2</v>
      </c>
      <c r="I2" s="356"/>
      <c r="J2" s="3" t="s">
        <v>3</v>
      </c>
      <c r="K2" s="3" t="s">
        <v>5</v>
      </c>
      <c r="L2" s="4" t="s">
        <v>7</v>
      </c>
      <c r="M2" s="2"/>
    </row>
    <row r="3" spans="1:13" x14ac:dyDescent="0.2">
      <c r="A3" s="2"/>
      <c r="B3" s="3" t="s">
        <v>0</v>
      </c>
      <c r="C3" s="3" t="s">
        <v>1</v>
      </c>
      <c r="D3" s="3" t="s">
        <v>4</v>
      </c>
      <c r="E3" s="3" t="s">
        <v>6</v>
      </c>
      <c r="F3" s="3" t="s">
        <v>8</v>
      </c>
      <c r="G3" s="357"/>
      <c r="H3" s="3" t="s">
        <v>0</v>
      </c>
      <c r="I3" s="3" t="s">
        <v>1</v>
      </c>
      <c r="J3" s="3" t="s">
        <v>4</v>
      </c>
      <c r="K3" s="3" t="s">
        <v>6</v>
      </c>
      <c r="L3" s="3" t="s">
        <v>8</v>
      </c>
      <c r="M3" s="2"/>
    </row>
    <row r="4" spans="1:13" x14ac:dyDescent="0.2">
      <c r="A4" s="2"/>
      <c r="B4" s="3">
        <v>1</v>
      </c>
      <c r="C4" s="3" t="s">
        <v>9</v>
      </c>
      <c r="D4" s="3">
        <v>99.1</v>
      </c>
      <c r="E4" s="3">
        <v>0.57969999999999999</v>
      </c>
      <c r="F4" s="3">
        <v>638.79999999999995</v>
      </c>
      <c r="G4" s="357"/>
      <c r="H4" s="3">
        <v>4.5</v>
      </c>
      <c r="I4" s="3">
        <v>0.441</v>
      </c>
      <c r="J4" s="3">
        <v>147.19999999999999</v>
      </c>
      <c r="K4" s="3">
        <v>2.3730000000000002</v>
      </c>
      <c r="L4" s="3">
        <v>655.20000000000005</v>
      </c>
      <c r="M4" s="2"/>
    </row>
    <row r="5" spans="1:13" x14ac:dyDescent="0.2">
      <c r="A5" s="2"/>
      <c r="B5" s="3">
        <v>1.1000000000000001</v>
      </c>
      <c r="C5" s="3">
        <v>0.108</v>
      </c>
      <c r="D5" s="3">
        <v>101.8</v>
      </c>
      <c r="E5" s="3">
        <v>0.63370000000000004</v>
      </c>
      <c r="F5" s="3">
        <v>639.79999999999995</v>
      </c>
      <c r="G5" s="357"/>
      <c r="H5" s="3">
        <v>5</v>
      </c>
      <c r="I5" s="3">
        <v>0.49</v>
      </c>
      <c r="J5" s="3">
        <v>151.1</v>
      </c>
      <c r="K5" s="3">
        <v>2.62</v>
      </c>
      <c r="L5" s="3">
        <v>656.3</v>
      </c>
      <c r="M5" s="2"/>
    </row>
    <row r="6" spans="1:13" x14ac:dyDescent="0.2">
      <c r="A6" s="2"/>
      <c r="B6" s="3">
        <v>1.2</v>
      </c>
      <c r="C6" s="3">
        <v>0.11799999999999999</v>
      </c>
      <c r="D6" s="3">
        <v>104.2</v>
      </c>
      <c r="E6" s="3">
        <v>0.68730000000000002</v>
      </c>
      <c r="F6" s="3">
        <v>640.70000000000005</v>
      </c>
      <c r="G6" s="357"/>
      <c r="H6" s="3">
        <v>6</v>
      </c>
      <c r="I6" s="3">
        <v>0.58799999999999997</v>
      </c>
      <c r="J6" s="3">
        <v>158.1</v>
      </c>
      <c r="K6" s="3">
        <v>3.1110000000000002</v>
      </c>
      <c r="L6" s="3">
        <v>658.3</v>
      </c>
      <c r="M6" s="2"/>
    </row>
    <row r="7" spans="1:13" x14ac:dyDescent="0.2">
      <c r="A7" s="2"/>
      <c r="B7" s="3">
        <v>1.3</v>
      </c>
      <c r="C7" s="3">
        <v>0.124</v>
      </c>
      <c r="D7" s="3">
        <v>106.6</v>
      </c>
      <c r="E7" s="3">
        <v>0.74070000000000003</v>
      </c>
      <c r="F7" s="3">
        <v>641.6</v>
      </c>
      <c r="G7" s="357"/>
      <c r="H7" s="3">
        <v>7</v>
      </c>
      <c r="I7" s="3">
        <v>0.68600000000000005</v>
      </c>
      <c r="J7" s="3">
        <v>164.2</v>
      </c>
      <c r="K7" s="3">
        <v>3.6</v>
      </c>
      <c r="L7" s="3">
        <v>659.9</v>
      </c>
      <c r="M7" s="2"/>
    </row>
    <row r="8" spans="1:13" x14ac:dyDescent="0.2">
      <c r="A8" s="2"/>
      <c r="B8" s="3">
        <v>1.4</v>
      </c>
      <c r="C8" s="3">
        <v>0.13700000000000001</v>
      </c>
      <c r="D8" s="3">
        <v>108.7</v>
      </c>
      <c r="E8" s="3">
        <v>0.79430000000000001</v>
      </c>
      <c r="F8" s="3">
        <v>642.29999999999995</v>
      </c>
      <c r="G8" s="357"/>
      <c r="H8" s="3">
        <v>8</v>
      </c>
      <c r="I8" s="3">
        <v>0.78400000000000003</v>
      </c>
      <c r="J8" s="3">
        <v>169.6</v>
      </c>
      <c r="K8" s="3">
        <v>4.085</v>
      </c>
      <c r="L8" s="3">
        <v>661.2</v>
      </c>
      <c r="M8" s="2"/>
    </row>
    <row r="9" spans="1:13" x14ac:dyDescent="0.2">
      <c r="A9" s="2"/>
      <c r="B9" s="3">
        <v>1.5</v>
      </c>
      <c r="C9" s="3">
        <v>0.14699999999999999</v>
      </c>
      <c r="D9" s="3">
        <v>111</v>
      </c>
      <c r="E9" s="3">
        <v>0.84670000000000001</v>
      </c>
      <c r="F9" s="3">
        <v>643.1</v>
      </c>
      <c r="G9" s="357"/>
      <c r="H9" s="3">
        <v>9</v>
      </c>
      <c r="I9" s="3">
        <v>0.88200000000000001</v>
      </c>
      <c r="J9" s="3">
        <v>174.5</v>
      </c>
      <c r="K9" s="3">
        <v>4.5679999999999996</v>
      </c>
      <c r="L9" s="3">
        <v>662.3</v>
      </c>
      <c r="M9" s="2"/>
    </row>
    <row r="10" spans="1:13" x14ac:dyDescent="0.2">
      <c r="A10" s="2"/>
      <c r="B10" s="3">
        <v>1.6</v>
      </c>
      <c r="C10" s="3">
        <v>0.157</v>
      </c>
      <c r="D10" s="3">
        <v>112.7</v>
      </c>
      <c r="E10" s="3">
        <v>0.90010000000000001</v>
      </c>
      <c r="F10" s="3">
        <v>643.79999999999995</v>
      </c>
      <c r="G10" s="357"/>
      <c r="H10" s="3">
        <v>10</v>
      </c>
      <c r="I10" s="3">
        <v>0.98</v>
      </c>
      <c r="J10" s="3">
        <v>179</v>
      </c>
      <c r="K10" s="3">
        <v>5.0510000000000002</v>
      </c>
      <c r="L10" s="3">
        <v>663.3</v>
      </c>
      <c r="M10" s="2"/>
    </row>
    <row r="11" spans="1:13" x14ac:dyDescent="0.2">
      <c r="A11" s="2"/>
      <c r="B11" s="3">
        <v>1.8</v>
      </c>
      <c r="C11" s="3">
        <v>0.17599999999999999</v>
      </c>
      <c r="D11" s="3">
        <v>116.3</v>
      </c>
      <c r="E11" s="3">
        <v>1.0045999999999999</v>
      </c>
      <c r="F11" s="3">
        <v>645.1</v>
      </c>
      <c r="G11" s="357"/>
      <c r="H11" s="3">
        <v>12</v>
      </c>
      <c r="I11" s="3">
        <v>1.1759999999999999</v>
      </c>
      <c r="J11" s="3">
        <v>187.1</v>
      </c>
      <c r="K11" s="3">
        <v>6.0129999999999999</v>
      </c>
      <c r="L11" s="5">
        <v>664.9</v>
      </c>
      <c r="M11" s="2"/>
    </row>
    <row r="12" spans="1:13" x14ac:dyDescent="0.2">
      <c r="A12" s="2"/>
      <c r="B12" s="3">
        <v>2</v>
      </c>
      <c r="C12" s="3">
        <v>0.19600000000000001</v>
      </c>
      <c r="D12" s="3">
        <v>119.6</v>
      </c>
      <c r="E12" s="3">
        <v>1.0900000000000001</v>
      </c>
      <c r="F12" s="3">
        <v>646.29999999999995</v>
      </c>
      <c r="G12" s="357"/>
      <c r="H12" s="3">
        <v>14</v>
      </c>
      <c r="I12" s="3">
        <v>1.3720000000000001</v>
      </c>
      <c r="J12" s="3">
        <v>194.4</v>
      </c>
      <c r="K12" s="3">
        <v>6.9740000000000002</v>
      </c>
      <c r="L12" s="3">
        <v>666.2</v>
      </c>
      <c r="M12" s="2"/>
    </row>
    <row r="13" spans="1:13" x14ac:dyDescent="0.2">
      <c r="A13" s="2"/>
      <c r="B13" s="3">
        <v>2.2000000000000002</v>
      </c>
      <c r="C13" s="3">
        <v>0.216</v>
      </c>
      <c r="D13" s="3">
        <v>122.6</v>
      </c>
      <c r="E13" s="3">
        <v>1.212</v>
      </c>
      <c r="F13" s="3">
        <v>647.29999999999995</v>
      </c>
      <c r="G13" s="357"/>
      <c r="H13" s="3">
        <v>16</v>
      </c>
      <c r="I13" s="3">
        <v>1.5680000000000001</v>
      </c>
      <c r="J13" s="3">
        <v>200.4</v>
      </c>
      <c r="K13" s="3">
        <v>7.83</v>
      </c>
      <c r="L13" s="3">
        <v>667.1</v>
      </c>
      <c r="M13" s="2"/>
    </row>
    <row r="14" spans="1:13" x14ac:dyDescent="0.2">
      <c r="A14" s="2"/>
      <c r="B14" s="3">
        <v>2.4</v>
      </c>
      <c r="C14" s="3">
        <v>0.23499999999999999</v>
      </c>
      <c r="D14" s="3">
        <v>125.5</v>
      </c>
      <c r="E14" s="3">
        <v>1.3149999999999999</v>
      </c>
      <c r="F14" s="3">
        <v>648.29999999999995</v>
      </c>
      <c r="G14" s="357"/>
      <c r="H14" s="3">
        <v>18</v>
      </c>
      <c r="I14" s="3">
        <v>1.764</v>
      </c>
      <c r="J14" s="3">
        <v>206.1</v>
      </c>
      <c r="K14" s="3">
        <v>8.8889999999999993</v>
      </c>
      <c r="L14" s="3">
        <v>667.8</v>
      </c>
      <c r="M14" s="2"/>
    </row>
    <row r="15" spans="1:13" x14ac:dyDescent="0.2">
      <c r="A15" s="2"/>
      <c r="B15" s="3">
        <v>2.6</v>
      </c>
      <c r="C15" s="3">
        <v>0.255</v>
      </c>
      <c r="D15" s="3">
        <v>128.1</v>
      </c>
      <c r="E15" s="3">
        <v>1.417</v>
      </c>
      <c r="F15" s="3">
        <v>649.20000000000005</v>
      </c>
      <c r="G15" s="357"/>
      <c r="H15" s="3">
        <v>20</v>
      </c>
      <c r="I15" s="3">
        <v>1.96</v>
      </c>
      <c r="J15" s="3">
        <v>211.4</v>
      </c>
      <c r="K15" s="3">
        <v>9.8520000000000003</v>
      </c>
      <c r="L15" s="3">
        <v>668.5</v>
      </c>
      <c r="M15" s="2"/>
    </row>
    <row r="16" spans="1:13" x14ac:dyDescent="0.2">
      <c r="A16" s="2"/>
      <c r="B16" s="3">
        <v>2.8</v>
      </c>
      <c r="C16" s="3">
        <v>0.27400000000000002</v>
      </c>
      <c r="D16" s="3">
        <v>130.5</v>
      </c>
      <c r="E16" s="3">
        <v>1.52</v>
      </c>
      <c r="F16" s="3">
        <v>650</v>
      </c>
      <c r="G16" s="357"/>
      <c r="H16" s="3">
        <v>25</v>
      </c>
      <c r="I16" s="3">
        <v>2.4500000000000002</v>
      </c>
      <c r="J16" s="3">
        <v>222.9</v>
      </c>
      <c r="K16" s="3">
        <v>12.27</v>
      </c>
      <c r="L16" s="3">
        <v>669.3</v>
      </c>
      <c r="M16" s="2"/>
    </row>
    <row r="17" spans="1:13" x14ac:dyDescent="0.2">
      <c r="A17" s="2"/>
      <c r="B17" s="3">
        <v>3</v>
      </c>
      <c r="C17" s="3">
        <v>0.29399999999999998</v>
      </c>
      <c r="D17" s="3">
        <v>132.9</v>
      </c>
      <c r="E17" s="3">
        <v>1.621</v>
      </c>
      <c r="F17" s="3">
        <v>650.70000000000005</v>
      </c>
      <c r="G17" s="357"/>
      <c r="H17" s="3">
        <v>27</v>
      </c>
      <c r="I17" s="3">
        <v>2.6459999999999999</v>
      </c>
      <c r="J17" s="3">
        <v>227</v>
      </c>
      <c r="K17" s="3">
        <v>13.24</v>
      </c>
      <c r="L17" s="3">
        <v>669.4</v>
      </c>
      <c r="M17" s="2"/>
    </row>
    <row r="18" spans="1:13" x14ac:dyDescent="0.2">
      <c r="A18" s="2"/>
      <c r="B18" s="3">
        <v>3.2</v>
      </c>
      <c r="C18" s="3">
        <v>0.314</v>
      </c>
      <c r="D18" s="3">
        <v>135.1</v>
      </c>
      <c r="E18" s="3">
        <v>1.722</v>
      </c>
      <c r="F18" s="3">
        <v>651.4</v>
      </c>
      <c r="G18" s="357"/>
      <c r="H18" s="3">
        <v>29</v>
      </c>
      <c r="I18" s="3">
        <v>2.8420000000000001</v>
      </c>
      <c r="J18" s="3">
        <v>230.9</v>
      </c>
      <c r="K18" s="3">
        <v>14.22</v>
      </c>
      <c r="L18" s="3">
        <v>669.5</v>
      </c>
      <c r="M18" s="2"/>
    </row>
    <row r="19" spans="1:13" x14ac:dyDescent="0.2">
      <c r="A19" s="2"/>
      <c r="B19" s="3">
        <v>3.4</v>
      </c>
      <c r="C19" s="3">
        <v>0.33300000000000002</v>
      </c>
      <c r="D19" s="3">
        <v>137.19999999999999</v>
      </c>
      <c r="E19" s="3">
        <v>1.823</v>
      </c>
      <c r="F19" s="3">
        <v>652.1</v>
      </c>
      <c r="G19" s="357"/>
      <c r="H19" s="3">
        <v>30</v>
      </c>
      <c r="I19" s="3">
        <v>2.94</v>
      </c>
      <c r="J19" s="3">
        <v>232.8</v>
      </c>
      <c r="K19" s="3">
        <v>14.93</v>
      </c>
      <c r="L19" s="3">
        <v>669.6</v>
      </c>
      <c r="M19" s="2"/>
    </row>
    <row r="20" spans="1:13" x14ac:dyDescent="0.2">
      <c r="A20" s="2"/>
      <c r="B20" s="3">
        <v>3.6</v>
      </c>
      <c r="C20" s="3">
        <v>0.35299999999999998</v>
      </c>
      <c r="D20" s="3">
        <v>139.9</v>
      </c>
      <c r="E20" s="3">
        <v>1.923</v>
      </c>
      <c r="F20" s="3">
        <v>652.79999999999995</v>
      </c>
      <c r="G20" s="357"/>
      <c r="H20" s="3">
        <v>32</v>
      </c>
      <c r="I20" s="3">
        <v>3.2360000000000002</v>
      </c>
      <c r="J20" s="3">
        <v>236.4</v>
      </c>
      <c r="K20" s="3">
        <v>15.7</v>
      </c>
      <c r="L20" s="3">
        <v>669.6</v>
      </c>
      <c r="M20" s="2"/>
    </row>
    <row r="21" spans="1:13" x14ac:dyDescent="0.2">
      <c r="A21" s="2"/>
      <c r="B21" s="3">
        <v>3.8</v>
      </c>
      <c r="C21" s="3">
        <v>0.372</v>
      </c>
      <c r="D21" s="3">
        <v>141.1</v>
      </c>
      <c r="E21" s="3">
        <v>2.024</v>
      </c>
      <c r="F21" s="3">
        <v>653.29999999999995</v>
      </c>
      <c r="G21" s="357"/>
      <c r="H21" s="3">
        <v>36</v>
      </c>
      <c r="I21" s="3">
        <v>3.528</v>
      </c>
      <c r="J21" s="3">
        <v>243.04</v>
      </c>
      <c r="K21" s="3">
        <v>17.690000000000001</v>
      </c>
      <c r="L21" s="3">
        <v>669.4</v>
      </c>
      <c r="M21" s="2"/>
    </row>
    <row r="22" spans="1:13" x14ac:dyDescent="0.2">
      <c r="A22" s="2"/>
      <c r="B22" s="3">
        <v>4</v>
      </c>
      <c r="C22" s="3">
        <v>0.39200000000000002</v>
      </c>
      <c r="D22" s="3">
        <v>142.9</v>
      </c>
      <c r="E22" s="3">
        <v>2.1240000000000001</v>
      </c>
      <c r="F22" s="3">
        <v>653.9</v>
      </c>
      <c r="G22" s="357"/>
      <c r="H22" s="3">
        <v>40</v>
      </c>
      <c r="I22" s="3">
        <v>3.92</v>
      </c>
      <c r="J22" s="3">
        <v>249.2</v>
      </c>
      <c r="K22" s="3">
        <v>19.7</v>
      </c>
      <c r="L22" s="3">
        <v>669</v>
      </c>
      <c r="M22" s="2"/>
    </row>
    <row r="23" spans="1:13" x14ac:dyDescent="0.2">
      <c r="A23" s="2"/>
      <c r="B23" s="2"/>
      <c r="C23" s="2"/>
      <c r="D23" s="2"/>
      <c r="E23" s="2"/>
      <c r="F23" s="2"/>
      <c r="G23" s="357"/>
      <c r="H23" s="2"/>
      <c r="I23" s="2"/>
      <c r="J23" s="2"/>
      <c r="K23" s="2"/>
      <c r="L23" s="2"/>
      <c r="M23" s="2"/>
    </row>
  </sheetData>
  <mergeCells count="3">
    <mergeCell ref="B2:C2"/>
    <mergeCell ref="H2:I2"/>
    <mergeCell ref="G1:G23"/>
  </mergeCells>
  <phoneticPr fontId="0" type="noConversion"/>
  <pageMargins left="1.56" right="0.78740157480314965" top="1.22" bottom="0.98425196850393704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showGridLines="0" zoomScale="175" zoomScaleNormal="175" workbookViewId="0">
      <selection activeCell="E8" sqref="E8"/>
    </sheetView>
  </sheetViews>
  <sheetFormatPr defaultRowHeight="12.75" x14ac:dyDescent="0.2"/>
  <cols>
    <col min="2" max="2" width="14.7109375" customWidth="1"/>
    <col min="3" max="3" width="9.7109375" customWidth="1"/>
    <col min="4" max="4" width="10.5703125" customWidth="1"/>
    <col min="5" max="5" width="13.42578125" customWidth="1"/>
    <col min="6" max="6" width="14.42578125" customWidth="1"/>
    <col min="7" max="8" width="9.7109375" customWidth="1"/>
    <col min="10" max="10" width="13.28515625" customWidth="1"/>
  </cols>
  <sheetData>
    <row r="1" spans="1:10" ht="13.5" thickBo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</row>
    <row r="2" spans="1:10" ht="13.5" thickTop="1" x14ac:dyDescent="0.2">
      <c r="A2" s="148"/>
      <c r="B2" s="358" t="s">
        <v>153</v>
      </c>
      <c r="C2" s="360" t="s">
        <v>154</v>
      </c>
      <c r="D2" s="361"/>
      <c r="E2" s="148"/>
      <c r="F2" s="358" t="s">
        <v>153</v>
      </c>
      <c r="G2" s="360" t="s">
        <v>154</v>
      </c>
      <c r="H2" s="361"/>
      <c r="I2" s="148"/>
      <c r="J2" s="148"/>
    </row>
    <row r="3" spans="1:10" x14ac:dyDescent="0.2">
      <c r="A3" s="148"/>
      <c r="B3" s="359"/>
      <c r="C3" s="254" t="s">
        <v>155</v>
      </c>
      <c r="D3" s="255" t="s">
        <v>156</v>
      </c>
      <c r="E3" s="148"/>
      <c r="F3" s="359"/>
      <c r="G3" s="254" t="s">
        <v>155</v>
      </c>
      <c r="H3" s="255" t="s">
        <v>156</v>
      </c>
      <c r="I3" s="148"/>
      <c r="J3" s="148"/>
    </row>
    <row r="4" spans="1:10" x14ac:dyDescent="0.2">
      <c r="A4" s="148"/>
      <c r="B4" s="53"/>
      <c r="C4" s="42"/>
      <c r="D4" s="54"/>
      <c r="E4" s="148"/>
      <c r="F4" s="53"/>
      <c r="G4" s="42"/>
      <c r="H4" s="54"/>
      <c r="I4" s="148"/>
      <c r="J4" s="148"/>
    </row>
    <row r="5" spans="1:10" x14ac:dyDescent="0.2">
      <c r="A5" s="148"/>
      <c r="B5" s="53" t="s">
        <v>134</v>
      </c>
      <c r="C5" s="42">
        <v>880</v>
      </c>
      <c r="D5" s="55">
        <f>C5/4190</f>
        <v>0.21002386634844869</v>
      </c>
      <c r="E5" s="148"/>
      <c r="F5" s="53"/>
      <c r="G5" s="42"/>
      <c r="H5" s="55"/>
      <c r="I5" s="148"/>
      <c r="J5" s="148"/>
    </row>
    <row r="6" spans="1:10" x14ac:dyDescent="0.2">
      <c r="A6" s="148"/>
      <c r="B6" s="53" t="s">
        <v>110</v>
      </c>
      <c r="C6" s="42">
        <v>4190</v>
      </c>
      <c r="D6" s="55">
        <f t="shared" ref="D6:D23" si="0">C6/4190</f>
        <v>1</v>
      </c>
      <c r="E6" s="148"/>
      <c r="F6" s="53"/>
      <c r="G6" s="42"/>
      <c r="H6" s="55"/>
      <c r="I6" s="148"/>
      <c r="J6" s="148"/>
    </row>
    <row r="7" spans="1:10" x14ac:dyDescent="0.2">
      <c r="A7" s="148"/>
      <c r="B7" s="53" t="s">
        <v>139</v>
      </c>
      <c r="C7" s="42">
        <v>460</v>
      </c>
      <c r="D7" s="55">
        <f t="shared" si="0"/>
        <v>0.10978520286396182</v>
      </c>
      <c r="E7" s="148"/>
      <c r="F7" s="53"/>
      <c r="G7" s="42"/>
      <c r="H7" s="55"/>
      <c r="I7" s="148"/>
      <c r="J7" s="148"/>
    </row>
    <row r="8" spans="1:10" x14ac:dyDescent="0.2">
      <c r="A8" s="148"/>
      <c r="B8" s="53" t="s">
        <v>157</v>
      </c>
      <c r="C8" s="42">
        <v>380</v>
      </c>
      <c r="D8" s="55">
        <f t="shared" si="0"/>
        <v>9.0692124105011929E-2</v>
      </c>
      <c r="E8" s="148"/>
      <c r="F8" s="53"/>
      <c r="G8" s="42"/>
      <c r="H8" s="55"/>
      <c r="I8" s="148"/>
      <c r="J8" s="148"/>
    </row>
    <row r="9" spans="1:10" x14ac:dyDescent="0.2">
      <c r="A9" s="148"/>
      <c r="B9" s="53" t="s">
        <v>152</v>
      </c>
      <c r="C9" s="42">
        <v>2100</v>
      </c>
      <c r="D9" s="55">
        <f t="shared" si="0"/>
        <v>0.50119331742243434</v>
      </c>
      <c r="E9" s="148"/>
      <c r="F9" s="53"/>
      <c r="G9" s="42"/>
      <c r="H9" s="55"/>
      <c r="I9" s="148"/>
      <c r="J9" s="148"/>
    </row>
    <row r="10" spans="1:10" x14ac:dyDescent="0.2">
      <c r="A10" s="148"/>
      <c r="B10" s="53" t="s">
        <v>135</v>
      </c>
      <c r="C10" s="42">
        <v>380</v>
      </c>
      <c r="D10" s="55">
        <f t="shared" si="0"/>
        <v>9.0692124105011929E-2</v>
      </c>
      <c r="E10" s="148"/>
      <c r="F10" s="53"/>
      <c r="G10" s="42"/>
      <c r="H10" s="55"/>
      <c r="I10" s="148"/>
      <c r="J10" s="148"/>
    </row>
    <row r="11" spans="1:10" x14ac:dyDescent="0.2">
      <c r="A11" s="148"/>
      <c r="B11" s="53" t="s">
        <v>158</v>
      </c>
      <c r="C11" s="42">
        <v>230</v>
      </c>
      <c r="D11" s="55">
        <f t="shared" si="0"/>
        <v>5.4892601431980909E-2</v>
      </c>
      <c r="E11" s="148"/>
      <c r="F11" s="53"/>
      <c r="G11" s="42"/>
      <c r="H11" s="55"/>
      <c r="I11" s="148"/>
      <c r="J11" s="148"/>
    </row>
    <row r="12" spans="1:10" x14ac:dyDescent="0.2">
      <c r="A12" s="148"/>
      <c r="B12" s="53" t="s">
        <v>137</v>
      </c>
      <c r="C12" s="42">
        <v>130</v>
      </c>
      <c r="D12" s="55">
        <f t="shared" si="0"/>
        <v>3.1026252983293555E-2</v>
      </c>
      <c r="E12" s="148"/>
      <c r="F12" s="53"/>
      <c r="G12" s="42"/>
      <c r="H12" s="55"/>
      <c r="I12" s="148"/>
      <c r="J12" s="148"/>
    </row>
    <row r="13" spans="1:10" x14ac:dyDescent="0.2">
      <c r="A13" s="148"/>
      <c r="B13" s="53" t="s">
        <v>159</v>
      </c>
      <c r="C13" s="42">
        <v>2420</v>
      </c>
      <c r="D13" s="55">
        <f t="shared" si="0"/>
        <v>0.57756563245823389</v>
      </c>
      <c r="E13" s="148"/>
      <c r="F13" s="53"/>
      <c r="G13" s="42"/>
      <c r="H13" s="55"/>
      <c r="I13" s="148"/>
      <c r="J13" s="148"/>
    </row>
    <row r="14" spans="1:10" x14ac:dyDescent="0.2">
      <c r="A14" s="148"/>
      <c r="B14" s="53" t="s">
        <v>160</v>
      </c>
      <c r="C14" s="42">
        <v>460</v>
      </c>
      <c r="D14" s="55">
        <f t="shared" si="0"/>
        <v>0.10978520286396182</v>
      </c>
      <c r="E14" s="148"/>
      <c r="F14" s="53"/>
      <c r="G14" s="42"/>
      <c r="H14" s="55"/>
      <c r="I14" s="148"/>
      <c r="J14" s="148"/>
    </row>
    <row r="15" spans="1:10" x14ac:dyDescent="0.2">
      <c r="A15" s="148"/>
      <c r="B15" s="53" t="s">
        <v>221</v>
      </c>
      <c r="C15" s="42">
        <v>1130</v>
      </c>
      <c r="D15" s="55">
        <f t="shared" si="0"/>
        <v>0.26968973747016706</v>
      </c>
      <c r="E15" s="148"/>
      <c r="F15" s="53"/>
      <c r="G15" s="42"/>
      <c r="H15" s="54"/>
      <c r="I15" s="148"/>
      <c r="J15" s="148"/>
    </row>
    <row r="16" spans="1:10" x14ac:dyDescent="0.2">
      <c r="A16" s="148"/>
      <c r="B16" s="53" t="s">
        <v>222</v>
      </c>
      <c r="C16" s="42">
        <v>1380</v>
      </c>
      <c r="D16" s="55">
        <f t="shared" si="0"/>
        <v>0.32935560859188545</v>
      </c>
      <c r="E16" s="148"/>
      <c r="F16" s="53"/>
      <c r="G16" s="42"/>
      <c r="H16" s="54"/>
      <c r="I16" s="148"/>
      <c r="J16" s="148"/>
    </row>
    <row r="17" spans="1:10" x14ac:dyDescent="0.2">
      <c r="A17" s="148"/>
      <c r="B17" s="53" t="s">
        <v>223</v>
      </c>
      <c r="C17" s="42">
        <v>670</v>
      </c>
      <c r="D17" s="55">
        <f t="shared" si="0"/>
        <v>0.15990453460620524</v>
      </c>
      <c r="E17" s="148"/>
      <c r="F17" s="53"/>
      <c r="G17" s="42"/>
      <c r="H17" s="54"/>
      <c r="I17" s="148"/>
      <c r="J17" s="148"/>
    </row>
    <row r="18" spans="1:10" x14ac:dyDescent="0.2">
      <c r="A18" s="148"/>
      <c r="B18" s="53" t="s">
        <v>224</v>
      </c>
      <c r="C18" s="42">
        <v>504</v>
      </c>
      <c r="D18" s="55">
        <f t="shared" si="0"/>
        <v>0.12028639618138424</v>
      </c>
      <c r="E18" s="148"/>
      <c r="F18" s="53"/>
      <c r="G18" s="42"/>
      <c r="H18" s="54"/>
      <c r="I18" s="148"/>
      <c r="J18" s="148"/>
    </row>
    <row r="19" spans="1:10" x14ac:dyDescent="0.2">
      <c r="A19" s="148"/>
      <c r="B19" s="53" t="s">
        <v>225</v>
      </c>
      <c r="C19" s="42">
        <v>2700</v>
      </c>
      <c r="D19" s="55">
        <f t="shared" si="0"/>
        <v>0.64439140811455842</v>
      </c>
      <c r="E19" s="148"/>
      <c r="F19" s="53"/>
      <c r="G19" s="42"/>
      <c r="H19" s="54"/>
      <c r="I19" s="148"/>
      <c r="J19" s="148"/>
    </row>
    <row r="20" spans="1:10" x14ac:dyDescent="0.2">
      <c r="A20" s="148"/>
      <c r="B20" s="53" t="s">
        <v>226</v>
      </c>
      <c r="C20" s="42">
        <v>1760</v>
      </c>
      <c r="D20" s="55">
        <f t="shared" si="0"/>
        <v>0.42004773269689738</v>
      </c>
      <c r="E20" s="148"/>
      <c r="F20" s="53"/>
      <c r="G20" s="42"/>
      <c r="H20" s="54"/>
      <c r="I20" s="148"/>
      <c r="J20" s="148"/>
    </row>
    <row r="21" spans="1:10" x14ac:dyDescent="0.2">
      <c r="A21" s="148"/>
      <c r="B21" s="53" t="s">
        <v>227</v>
      </c>
      <c r="C21" s="42">
        <v>798</v>
      </c>
      <c r="D21" s="55">
        <f t="shared" si="0"/>
        <v>0.19045346062052507</v>
      </c>
      <c r="E21" s="148"/>
      <c r="F21" s="53"/>
      <c r="G21" s="42"/>
      <c r="H21" s="54"/>
      <c r="I21" s="148"/>
      <c r="J21" s="148"/>
    </row>
    <row r="22" spans="1:10" x14ac:dyDescent="0.2">
      <c r="A22" s="148"/>
      <c r="B22" s="53" t="s">
        <v>228</v>
      </c>
      <c r="C22" s="42">
        <v>1310</v>
      </c>
      <c r="D22" s="55">
        <f t="shared" si="0"/>
        <v>0.31264916467780429</v>
      </c>
      <c r="E22" s="148"/>
      <c r="F22" s="53"/>
      <c r="G22" s="42"/>
      <c r="H22" s="54"/>
      <c r="I22" s="148"/>
      <c r="J22" s="148"/>
    </row>
    <row r="23" spans="1:10" ht="13.5" thickBot="1" x14ac:dyDescent="0.25">
      <c r="A23" s="148"/>
      <c r="B23" s="56" t="s">
        <v>229</v>
      </c>
      <c r="C23" s="57">
        <v>1090</v>
      </c>
      <c r="D23" s="55">
        <f t="shared" si="0"/>
        <v>0.26014319809069214</v>
      </c>
      <c r="E23" s="148"/>
      <c r="F23" s="56"/>
      <c r="G23" s="57"/>
      <c r="H23" s="142"/>
      <c r="I23" s="148"/>
      <c r="J23" s="148"/>
    </row>
    <row r="24" spans="1:10" ht="13.5" thickTop="1" x14ac:dyDescent="0.2">
      <c r="A24" s="148"/>
      <c r="B24" s="148"/>
      <c r="C24" s="148"/>
      <c r="D24" s="148"/>
      <c r="E24" s="148"/>
      <c r="F24" s="148"/>
      <c r="G24" s="148"/>
      <c r="H24" s="148"/>
      <c r="I24" s="148"/>
      <c r="J24" s="148"/>
    </row>
  </sheetData>
  <mergeCells count="4">
    <mergeCell ref="B2:B3"/>
    <mergeCell ref="C2:D2"/>
    <mergeCell ref="F2:F3"/>
    <mergeCell ref="G2:H2"/>
  </mergeCells>
  <phoneticPr fontId="0" type="noConversion"/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5"/>
  <sheetViews>
    <sheetView showGridLines="0" zoomScale="190" zoomScaleNormal="190" workbookViewId="0">
      <pane ySplit="3" topLeftCell="A4" activePane="bottomLeft" state="frozenSplit"/>
      <selection pane="bottomLeft" activeCell="E70" sqref="E70"/>
    </sheetView>
  </sheetViews>
  <sheetFormatPr defaultRowHeight="12.75" x14ac:dyDescent="0.2"/>
  <cols>
    <col min="1" max="1" width="3.7109375" customWidth="1"/>
    <col min="2" max="2" width="22.5703125" customWidth="1"/>
    <col min="3" max="3" width="9.7109375" customWidth="1"/>
    <col min="4" max="5" width="11.28515625" customWidth="1"/>
    <col min="6" max="6" width="12.28515625" customWidth="1"/>
    <col min="7" max="7" width="12.42578125" customWidth="1"/>
  </cols>
  <sheetData>
    <row r="1" spans="1:11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11" ht="13.5" thickTop="1" x14ac:dyDescent="0.2">
      <c r="A2" s="6"/>
      <c r="B2" s="362" t="s">
        <v>153</v>
      </c>
      <c r="C2" s="164" t="s">
        <v>5</v>
      </c>
      <c r="D2" s="364" t="s">
        <v>161</v>
      </c>
      <c r="E2" s="365"/>
      <c r="F2" s="366"/>
      <c r="G2" s="367"/>
      <c r="H2" s="6"/>
      <c r="I2" s="6"/>
      <c r="J2" s="6"/>
      <c r="K2" s="6"/>
    </row>
    <row r="3" spans="1:11" x14ac:dyDescent="0.2">
      <c r="A3" s="6"/>
      <c r="B3" s="363"/>
      <c r="C3" s="17" t="s">
        <v>6</v>
      </c>
      <c r="D3" s="172" t="s">
        <v>162</v>
      </c>
      <c r="E3" s="173" t="s">
        <v>156</v>
      </c>
      <c r="F3" s="177" t="s">
        <v>163</v>
      </c>
      <c r="G3" s="178" t="s">
        <v>215</v>
      </c>
      <c r="H3" s="6"/>
      <c r="I3" s="6"/>
      <c r="J3" s="6"/>
      <c r="K3" s="6"/>
    </row>
    <row r="4" spans="1:11" x14ac:dyDescent="0.2">
      <c r="A4" s="6"/>
      <c r="B4" s="152" t="s">
        <v>165</v>
      </c>
      <c r="C4" s="165">
        <v>2500</v>
      </c>
      <c r="D4" s="172">
        <v>0.84</v>
      </c>
      <c r="E4" s="174">
        <f t="shared" ref="E4:E35" si="0">D4/4.19</f>
        <v>0.20047732696897372</v>
      </c>
      <c r="F4" s="177">
        <v>2.04</v>
      </c>
      <c r="G4" s="179">
        <f t="shared" ref="G4:G35" si="1">F4/1.16</f>
        <v>1.7586206896551726</v>
      </c>
      <c r="H4" s="6"/>
      <c r="I4" s="6"/>
      <c r="J4" s="6"/>
      <c r="K4" s="6"/>
    </row>
    <row r="5" spans="1:11" x14ac:dyDescent="0.2">
      <c r="A5" s="6"/>
      <c r="B5" s="152" t="s">
        <v>166</v>
      </c>
      <c r="C5" s="165">
        <v>2400</v>
      </c>
      <c r="D5" s="172">
        <v>0.84</v>
      </c>
      <c r="E5" s="174">
        <f t="shared" si="0"/>
        <v>0.20047732696897372</v>
      </c>
      <c r="F5" s="177">
        <v>1.86</v>
      </c>
      <c r="G5" s="179">
        <f t="shared" si="1"/>
        <v>1.6034482758620692</v>
      </c>
      <c r="H5" s="6"/>
      <c r="I5" s="6"/>
      <c r="J5" s="6"/>
      <c r="K5" s="6"/>
    </row>
    <row r="6" spans="1:11" x14ac:dyDescent="0.2">
      <c r="A6" s="6"/>
      <c r="B6" s="152" t="s">
        <v>167</v>
      </c>
      <c r="C6" s="165">
        <v>1800</v>
      </c>
      <c r="D6" s="172">
        <v>0.84</v>
      </c>
      <c r="E6" s="174">
        <f t="shared" si="0"/>
        <v>0.20047732696897372</v>
      </c>
      <c r="F6" s="177">
        <v>0.99</v>
      </c>
      <c r="G6" s="179">
        <f t="shared" si="1"/>
        <v>0.85344827586206906</v>
      </c>
      <c r="H6" s="6"/>
      <c r="I6" s="6"/>
      <c r="J6" s="6"/>
      <c r="K6" s="6"/>
    </row>
    <row r="7" spans="1:11" x14ac:dyDescent="0.2">
      <c r="A7" s="6"/>
      <c r="B7" s="152" t="s">
        <v>167</v>
      </c>
      <c r="C7" s="165">
        <v>1200</v>
      </c>
      <c r="D7" s="172">
        <v>0.84</v>
      </c>
      <c r="E7" s="174">
        <f t="shared" si="0"/>
        <v>0.20047732696897372</v>
      </c>
      <c r="F7" s="177">
        <v>0.47</v>
      </c>
      <c r="G7" s="179">
        <f t="shared" si="1"/>
        <v>0.40517241379310348</v>
      </c>
      <c r="H7" s="6"/>
      <c r="I7" s="6"/>
      <c r="J7" s="6"/>
      <c r="K7" s="6"/>
    </row>
    <row r="8" spans="1:11" x14ac:dyDescent="0.2">
      <c r="A8" s="6"/>
      <c r="B8" s="152" t="s">
        <v>168</v>
      </c>
      <c r="C8" s="165">
        <v>1600</v>
      </c>
      <c r="D8" s="172">
        <v>0.84</v>
      </c>
      <c r="E8" s="174">
        <f t="shared" si="0"/>
        <v>0.20047732696897372</v>
      </c>
      <c r="F8" s="177">
        <v>0.68</v>
      </c>
      <c r="G8" s="179">
        <f t="shared" si="1"/>
        <v>0.5862068965517242</v>
      </c>
      <c r="H8" s="6"/>
      <c r="I8" s="6"/>
      <c r="J8" s="6"/>
      <c r="K8" s="6"/>
    </row>
    <row r="9" spans="1:11" x14ac:dyDescent="0.2">
      <c r="A9" s="6"/>
      <c r="B9" s="152" t="s">
        <v>168</v>
      </c>
      <c r="C9" s="165">
        <v>800</v>
      </c>
      <c r="D9" s="172">
        <v>0.84</v>
      </c>
      <c r="E9" s="174">
        <f t="shared" si="0"/>
        <v>0.20047732696897372</v>
      </c>
      <c r="F9" s="177">
        <v>0.26</v>
      </c>
      <c r="G9" s="179">
        <f t="shared" si="1"/>
        <v>0.22413793103448279</v>
      </c>
      <c r="H9" s="6"/>
      <c r="I9" s="6"/>
      <c r="J9" s="6"/>
      <c r="K9" s="6"/>
    </row>
    <row r="10" spans="1:11" x14ac:dyDescent="0.2">
      <c r="A10" s="6"/>
      <c r="B10" s="152" t="s">
        <v>169</v>
      </c>
      <c r="C10" s="165">
        <v>1800</v>
      </c>
      <c r="D10" s="172">
        <v>0.84</v>
      </c>
      <c r="E10" s="174">
        <f t="shared" si="0"/>
        <v>0.20047732696897372</v>
      </c>
      <c r="F10" s="177">
        <v>0.79</v>
      </c>
      <c r="G10" s="179">
        <f t="shared" si="1"/>
        <v>0.68103448275862077</v>
      </c>
      <c r="H10" s="6"/>
      <c r="I10" s="6"/>
      <c r="J10" s="6"/>
      <c r="K10" s="6"/>
    </row>
    <row r="11" spans="1:11" x14ac:dyDescent="0.2">
      <c r="A11" s="6"/>
      <c r="B11" s="152" t="s">
        <v>169</v>
      </c>
      <c r="C11" s="165">
        <v>1000</v>
      </c>
      <c r="D11" s="172">
        <v>0.84</v>
      </c>
      <c r="E11" s="174">
        <f t="shared" si="0"/>
        <v>0.20047732696897372</v>
      </c>
      <c r="F11" s="177">
        <v>0.41</v>
      </c>
      <c r="G11" s="179">
        <f t="shared" si="1"/>
        <v>0.35344827586206895</v>
      </c>
      <c r="H11" s="6"/>
      <c r="I11" s="6"/>
      <c r="J11" s="6"/>
      <c r="K11" s="6"/>
    </row>
    <row r="12" spans="1:11" x14ac:dyDescent="0.2">
      <c r="A12" s="6"/>
      <c r="B12" s="152" t="s">
        <v>169</v>
      </c>
      <c r="C12" s="165">
        <v>500</v>
      </c>
      <c r="D12" s="172">
        <v>0.84</v>
      </c>
      <c r="E12" s="174">
        <f t="shared" si="0"/>
        <v>0.20047732696897372</v>
      </c>
      <c r="F12" s="177">
        <v>0.23</v>
      </c>
      <c r="G12" s="179">
        <f t="shared" si="1"/>
        <v>0.19827586206896555</v>
      </c>
      <c r="H12" s="6"/>
      <c r="I12" s="6"/>
      <c r="J12" s="6"/>
      <c r="K12" s="6"/>
    </row>
    <row r="13" spans="1:11" x14ac:dyDescent="0.2">
      <c r="A13" s="6"/>
      <c r="B13" s="152" t="s">
        <v>170</v>
      </c>
      <c r="C13" s="165">
        <v>1200</v>
      </c>
      <c r="D13" s="172">
        <v>0.84</v>
      </c>
      <c r="E13" s="174">
        <f t="shared" si="0"/>
        <v>0.20047732696897372</v>
      </c>
      <c r="F13" s="177">
        <v>0.5</v>
      </c>
      <c r="G13" s="179">
        <f t="shared" si="1"/>
        <v>0.43103448275862072</v>
      </c>
      <c r="H13" s="6"/>
      <c r="I13" s="6"/>
      <c r="J13" s="6"/>
      <c r="K13" s="6"/>
    </row>
    <row r="14" spans="1:11" x14ac:dyDescent="0.2">
      <c r="A14" s="6"/>
      <c r="B14" s="152" t="s">
        <v>170</v>
      </c>
      <c r="C14" s="165">
        <v>600</v>
      </c>
      <c r="D14" s="172">
        <v>0.84</v>
      </c>
      <c r="E14" s="174">
        <f t="shared" si="0"/>
        <v>0.20047732696897372</v>
      </c>
      <c r="F14" s="177">
        <v>0.23</v>
      </c>
      <c r="G14" s="179">
        <f t="shared" si="1"/>
        <v>0.19827586206896555</v>
      </c>
      <c r="H14" s="6"/>
      <c r="I14" s="6"/>
      <c r="J14" s="6"/>
      <c r="K14" s="6"/>
    </row>
    <row r="15" spans="1:11" x14ac:dyDescent="0.2">
      <c r="A15" s="6"/>
      <c r="B15" s="152" t="s">
        <v>171</v>
      </c>
      <c r="C15" s="165">
        <v>1800</v>
      </c>
      <c r="D15" s="172">
        <v>0.84</v>
      </c>
      <c r="E15" s="174">
        <f t="shared" si="0"/>
        <v>0.20047732696897372</v>
      </c>
      <c r="F15" s="177">
        <v>0.76</v>
      </c>
      <c r="G15" s="179">
        <f t="shared" si="1"/>
        <v>0.65517241379310354</v>
      </c>
      <c r="H15" s="6"/>
      <c r="I15" s="6"/>
      <c r="J15" s="6"/>
      <c r="K15" s="6"/>
    </row>
    <row r="16" spans="1:11" x14ac:dyDescent="0.2">
      <c r="A16" s="6"/>
      <c r="B16" s="152" t="s">
        <v>171</v>
      </c>
      <c r="C16" s="165">
        <v>1000</v>
      </c>
      <c r="D16" s="172">
        <v>0.84</v>
      </c>
      <c r="E16" s="174">
        <f t="shared" si="0"/>
        <v>0.20047732696897372</v>
      </c>
      <c r="F16" s="177">
        <v>0.37</v>
      </c>
      <c r="G16" s="179">
        <f t="shared" si="1"/>
        <v>0.31896551724137934</v>
      </c>
      <c r="H16" s="6"/>
      <c r="I16" s="6"/>
      <c r="J16" s="6"/>
      <c r="K16" s="6"/>
    </row>
    <row r="17" spans="1:11" x14ac:dyDescent="0.2">
      <c r="A17" s="6"/>
      <c r="B17" s="152" t="s">
        <v>172</v>
      </c>
      <c r="C17" s="165">
        <v>1600</v>
      </c>
      <c r="D17" s="172">
        <v>0.84</v>
      </c>
      <c r="E17" s="174">
        <f t="shared" si="0"/>
        <v>0.20047732696897372</v>
      </c>
      <c r="F17" s="177">
        <v>0.78</v>
      </c>
      <c r="G17" s="179">
        <f t="shared" si="1"/>
        <v>0.6724137931034484</v>
      </c>
      <c r="H17" s="6"/>
      <c r="I17" s="6"/>
      <c r="J17" s="6"/>
      <c r="K17" s="6"/>
    </row>
    <row r="18" spans="1:11" x14ac:dyDescent="0.2">
      <c r="A18" s="6"/>
      <c r="B18" s="152" t="s">
        <v>172</v>
      </c>
      <c r="C18" s="165">
        <v>1000</v>
      </c>
      <c r="D18" s="172">
        <v>0.84</v>
      </c>
      <c r="E18" s="174">
        <f t="shared" si="0"/>
        <v>0.20047732696897372</v>
      </c>
      <c r="F18" s="177">
        <v>0.44</v>
      </c>
      <c r="G18" s="179">
        <f t="shared" si="1"/>
        <v>0.37931034482758624</v>
      </c>
      <c r="H18" s="6"/>
      <c r="I18" s="6"/>
      <c r="J18" s="6"/>
      <c r="K18" s="6"/>
    </row>
    <row r="19" spans="1:11" x14ac:dyDescent="0.2">
      <c r="A19" s="6"/>
      <c r="B19" s="152" t="s">
        <v>173</v>
      </c>
      <c r="C19" s="165">
        <v>800</v>
      </c>
      <c r="D19" s="172">
        <v>0.84</v>
      </c>
      <c r="E19" s="174">
        <f t="shared" si="0"/>
        <v>0.20047732696897372</v>
      </c>
      <c r="F19" s="177">
        <v>0.26</v>
      </c>
      <c r="G19" s="179">
        <f t="shared" si="1"/>
        <v>0.22413793103448279</v>
      </c>
      <c r="H19" s="6"/>
      <c r="I19" s="6"/>
      <c r="J19" s="6"/>
      <c r="K19" s="6"/>
    </row>
    <row r="20" spans="1:11" x14ac:dyDescent="0.2">
      <c r="A20" s="6"/>
      <c r="B20" s="152" t="s">
        <v>173</v>
      </c>
      <c r="C20" s="165">
        <v>300</v>
      </c>
      <c r="D20" s="172">
        <v>0.84</v>
      </c>
      <c r="E20" s="174">
        <f t="shared" si="0"/>
        <v>0.20047732696897372</v>
      </c>
      <c r="F20" s="177">
        <v>0.11</v>
      </c>
      <c r="G20" s="179">
        <f t="shared" si="1"/>
        <v>9.4827586206896561E-2</v>
      </c>
      <c r="H20" s="6"/>
      <c r="I20" s="6"/>
      <c r="J20" s="6"/>
      <c r="K20" s="6"/>
    </row>
    <row r="21" spans="1:11" x14ac:dyDescent="0.2">
      <c r="A21" s="6"/>
      <c r="B21" s="152" t="s">
        <v>174</v>
      </c>
      <c r="C21" s="165">
        <v>1000</v>
      </c>
      <c r="D21" s="172">
        <v>0.84</v>
      </c>
      <c r="E21" s="174">
        <f t="shared" si="0"/>
        <v>0.20047732696897372</v>
      </c>
      <c r="F21" s="177">
        <v>0.47</v>
      </c>
      <c r="G21" s="179">
        <f t="shared" si="1"/>
        <v>0.40517241379310348</v>
      </c>
      <c r="H21" s="6"/>
      <c r="I21" s="6"/>
      <c r="J21" s="6"/>
      <c r="K21" s="6"/>
    </row>
    <row r="22" spans="1:11" x14ac:dyDescent="0.2">
      <c r="A22" s="6"/>
      <c r="B22" s="152" t="s">
        <v>174</v>
      </c>
      <c r="C22" s="165">
        <v>300</v>
      </c>
      <c r="D22" s="172">
        <v>0.84</v>
      </c>
      <c r="E22" s="174">
        <f t="shared" si="0"/>
        <v>0.20047732696897372</v>
      </c>
      <c r="F22" s="177">
        <v>0.13</v>
      </c>
      <c r="G22" s="179">
        <f t="shared" si="1"/>
        <v>0.1120689655172414</v>
      </c>
      <c r="H22" s="6"/>
      <c r="I22" s="6"/>
      <c r="J22" s="6"/>
      <c r="K22" s="6"/>
    </row>
    <row r="23" spans="1:11" x14ac:dyDescent="0.2">
      <c r="A23" s="6"/>
      <c r="B23" s="154" t="s">
        <v>175</v>
      </c>
      <c r="C23" s="166">
        <v>1800</v>
      </c>
      <c r="D23" s="172">
        <v>0.84</v>
      </c>
      <c r="E23" s="174">
        <f t="shared" si="0"/>
        <v>0.20047732696897372</v>
      </c>
      <c r="F23" s="177">
        <v>0.93</v>
      </c>
      <c r="G23" s="179">
        <f t="shared" si="1"/>
        <v>0.80172413793103459</v>
      </c>
      <c r="H23" s="6"/>
      <c r="I23" s="6"/>
      <c r="J23" s="6"/>
      <c r="K23" s="6"/>
    </row>
    <row r="24" spans="1:11" x14ac:dyDescent="0.2">
      <c r="A24" s="6"/>
      <c r="B24" s="154" t="s">
        <v>176</v>
      </c>
      <c r="C24" s="166">
        <v>1700</v>
      </c>
      <c r="D24" s="172">
        <v>0.84</v>
      </c>
      <c r="E24" s="174">
        <f t="shared" si="0"/>
        <v>0.20047732696897372</v>
      </c>
      <c r="F24" s="177">
        <v>0.87</v>
      </c>
      <c r="G24" s="179">
        <f t="shared" si="1"/>
        <v>0.75</v>
      </c>
      <c r="H24" s="6"/>
      <c r="I24" s="6"/>
      <c r="J24" s="6"/>
      <c r="K24" s="6"/>
    </row>
    <row r="25" spans="1:11" x14ac:dyDescent="0.2">
      <c r="A25" s="6"/>
      <c r="B25" s="154" t="s">
        <v>177</v>
      </c>
      <c r="C25" s="166">
        <v>1600</v>
      </c>
      <c r="D25" s="172">
        <v>0.84</v>
      </c>
      <c r="E25" s="174">
        <f t="shared" si="0"/>
        <v>0.20047732696897372</v>
      </c>
      <c r="F25" s="177">
        <v>0.81</v>
      </c>
      <c r="G25" s="179">
        <f t="shared" si="1"/>
        <v>0.69827586206896564</v>
      </c>
      <c r="H25" s="6"/>
      <c r="I25" s="6"/>
      <c r="J25" s="6"/>
      <c r="K25" s="6"/>
    </row>
    <row r="26" spans="1:11" x14ac:dyDescent="0.2">
      <c r="A26" s="6"/>
      <c r="B26" s="154" t="s">
        <v>178</v>
      </c>
      <c r="C26" s="166">
        <v>1400</v>
      </c>
      <c r="D26" s="172">
        <v>0.84</v>
      </c>
      <c r="E26" s="174">
        <f t="shared" si="0"/>
        <v>0.20047732696897372</v>
      </c>
      <c r="F26" s="177">
        <v>0.64</v>
      </c>
      <c r="G26" s="179">
        <f t="shared" si="1"/>
        <v>0.55172413793103459</v>
      </c>
      <c r="H26" s="6"/>
      <c r="I26" s="6"/>
      <c r="J26" s="6"/>
      <c r="K26" s="6"/>
    </row>
    <row r="27" spans="1:11" x14ac:dyDescent="0.2">
      <c r="A27" s="6"/>
      <c r="B27" s="154" t="s">
        <v>178</v>
      </c>
      <c r="C27" s="166">
        <v>1200</v>
      </c>
      <c r="D27" s="172">
        <v>0.84</v>
      </c>
      <c r="E27" s="174">
        <f t="shared" si="0"/>
        <v>0.20047732696897372</v>
      </c>
      <c r="F27" s="177">
        <v>0.57999999999999996</v>
      </c>
      <c r="G27" s="179">
        <f t="shared" si="1"/>
        <v>0.5</v>
      </c>
      <c r="H27" s="6"/>
      <c r="I27" s="6"/>
      <c r="J27" s="6"/>
      <c r="K27" s="6"/>
    </row>
    <row r="28" spans="1:11" x14ac:dyDescent="0.2">
      <c r="A28" s="6"/>
      <c r="B28" s="154" t="s">
        <v>179</v>
      </c>
      <c r="C28" s="166">
        <v>1000</v>
      </c>
      <c r="D28" s="172">
        <v>0.84</v>
      </c>
      <c r="E28" s="174">
        <f t="shared" si="0"/>
        <v>0.20047732696897372</v>
      </c>
      <c r="F28" s="177">
        <v>0.3</v>
      </c>
      <c r="G28" s="179">
        <f t="shared" si="1"/>
        <v>0.25862068965517243</v>
      </c>
      <c r="H28" s="6"/>
      <c r="I28" s="6"/>
      <c r="J28" s="6"/>
      <c r="K28" s="6"/>
    </row>
    <row r="29" spans="1:11" x14ac:dyDescent="0.2">
      <c r="A29" s="6"/>
      <c r="B29" s="154" t="s">
        <v>179</v>
      </c>
      <c r="C29" s="166">
        <v>800</v>
      </c>
      <c r="D29" s="172">
        <v>0.84</v>
      </c>
      <c r="E29" s="174">
        <f t="shared" si="0"/>
        <v>0.20047732696897372</v>
      </c>
      <c r="F29" s="177">
        <v>0.26</v>
      </c>
      <c r="G29" s="179">
        <f t="shared" si="1"/>
        <v>0.22413793103448279</v>
      </c>
      <c r="H29" s="6"/>
      <c r="I29" s="6"/>
      <c r="J29" s="6"/>
      <c r="K29" s="6"/>
    </row>
    <row r="30" spans="1:11" x14ac:dyDescent="0.2">
      <c r="A30" s="6"/>
      <c r="B30" s="154" t="s">
        <v>180</v>
      </c>
      <c r="C30" s="166">
        <v>600</v>
      </c>
      <c r="D30" s="172">
        <v>0.84</v>
      </c>
      <c r="E30" s="174">
        <f t="shared" si="0"/>
        <v>0.20047732696897372</v>
      </c>
      <c r="F30" s="177">
        <v>0.23</v>
      </c>
      <c r="G30" s="179">
        <f t="shared" si="1"/>
        <v>0.19827586206896555</v>
      </c>
      <c r="H30" s="6"/>
      <c r="I30" s="6"/>
      <c r="J30" s="6"/>
      <c r="K30" s="6"/>
    </row>
    <row r="31" spans="1:11" x14ac:dyDescent="0.2">
      <c r="A31" s="6"/>
      <c r="B31" s="154" t="s">
        <v>181</v>
      </c>
      <c r="C31" s="166">
        <v>500</v>
      </c>
      <c r="D31" s="172">
        <v>0.84</v>
      </c>
      <c r="E31" s="174">
        <f t="shared" si="0"/>
        <v>0.20047732696897372</v>
      </c>
      <c r="F31" s="177">
        <v>0.19</v>
      </c>
      <c r="G31" s="179">
        <f t="shared" si="1"/>
        <v>0.16379310344827588</v>
      </c>
      <c r="H31" s="6"/>
      <c r="I31" s="6"/>
      <c r="J31" s="6"/>
      <c r="K31" s="6"/>
    </row>
    <row r="32" spans="1:11" x14ac:dyDescent="0.2">
      <c r="A32" s="6"/>
      <c r="B32" s="149" t="s">
        <v>182</v>
      </c>
      <c r="C32" s="167">
        <v>1200</v>
      </c>
      <c r="D32" s="172">
        <v>0.84</v>
      </c>
      <c r="E32" s="174">
        <f t="shared" si="0"/>
        <v>0.20047732696897372</v>
      </c>
      <c r="F32" s="177">
        <v>0.47</v>
      </c>
      <c r="G32" s="179">
        <f t="shared" si="1"/>
        <v>0.40517241379310348</v>
      </c>
      <c r="H32" s="6"/>
      <c r="I32" s="6"/>
      <c r="J32" s="6"/>
      <c r="K32" s="6"/>
    </row>
    <row r="33" spans="1:11" x14ac:dyDescent="0.2">
      <c r="A33" s="6"/>
      <c r="B33" s="149" t="s">
        <v>182</v>
      </c>
      <c r="C33" s="167">
        <v>1000</v>
      </c>
      <c r="D33" s="172">
        <v>0.84</v>
      </c>
      <c r="E33" s="174">
        <f t="shared" si="0"/>
        <v>0.20047732696897372</v>
      </c>
      <c r="F33" s="177">
        <v>0.35</v>
      </c>
      <c r="G33" s="179">
        <f t="shared" si="1"/>
        <v>0.30172413793103448</v>
      </c>
      <c r="H33" s="6"/>
      <c r="I33" s="6"/>
      <c r="J33" s="6"/>
      <c r="K33" s="6"/>
    </row>
    <row r="34" spans="1:11" x14ac:dyDescent="0.2">
      <c r="A34" s="6"/>
      <c r="B34" s="149" t="s">
        <v>183</v>
      </c>
      <c r="C34" s="167">
        <v>800</v>
      </c>
      <c r="D34" s="172">
        <v>0.84</v>
      </c>
      <c r="E34" s="174">
        <f t="shared" si="0"/>
        <v>0.20047732696897372</v>
      </c>
      <c r="F34" s="177">
        <v>0.21</v>
      </c>
      <c r="G34" s="179">
        <f t="shared" si="1"/>
        <v>0.18103448275862069</v>
      </c>
      <c r="H34" s="6"/>
      <c r="I34" s="6"/>
      <c r="J34" s="6"/>
      <c r="K34" s="6"/>
    </row>
    <row r="35" spans="1:11" x14ac:dyDescent="0.2">
      <c r="A35" s="6"/>
      <c r="B35" s="155" t="s">
        <v>184</v>
      </c>
      <c r="C35" s="168">
        <v>1800</v>
      </c>
      <c r="D35" s="172">
        <v>0.88</v>
      </c>
      <c r="E35" s="174">
        <f t="shared" si="0"/>
        <v>0.21002386634844866</v>
      </c>
      <c r="F35" s="177">
        <v>0.81</v>
      </c>
      <c r="G35" s="179">
        <f t="shared" si="1"/>
        <v>0.69827586206896564</v>
      </c>
      <c r="H35" s="6"/>
      <c r="I35" s="6"/>
      <c r="J35" s="6"/>
      <c r="K35" s="6"/>
    </row>
    <row r="36" spans="1:11" x14ac:dyDescent="0.2">
      <c r="A36" s="6"/>
      <c r="B36" s="155" t="s">
        <v>184</v>
      </c>
      <c r="C36" s="168">
        <v>1700</v>
      </c>
      <c r="D36" s="172">
        <v>0.88</v>
      </c>
      <c r="E36" s="174">
        <f t="shared" ref="E36:E64" si="2">D36/4.19</f>
        <v>0.21002386634844866</v>
      </c>
      <c r="F36" s="177">
        <v>0.76</v>
      </c>
      <c r="G36" s="179">
        <f t="shared" ref="G36:G64" si="3">F36/1.16</f>
        <v>0.65517241379310354</v>
      </c>
      <c r="H36" s="6"/>
      <c r="I36" s="6"/>
      <c r="J36" s="6"/>
      <c r="K36" s="6"/>
    </row>
    <row r="37" spans="1:11" x14ac:dyDescent="0.2">
      <c r="A37" s="6"/>
      <c r="B37" s="155" t="s">
        <v>184</v>
      </c>
      <c r="C37" s="168">
        <v>1600</v>
      </c>
      <c r="D37" s="172">
        <v>0.88</v>
      </c>
      <c r="E37" s="174">
        <f t="shared" si="2"/>
        <v>0.21002386634844866</v>
      </c>
      <c r="F37" s="177">
        <v>0.7</v>
      </c>
      <c r="G37" s="179">
        <f t="shared" si="3"/>
        <v>0.60344827586206895</v>
      </c>
      <c r="H37" s="6"/>
      <c r="I37" s="6"/>
      <c r="J37" s="6"/>
      <c r="K37" s="6"/>
    </row>
    <row r="38" spans="1:11" x14ac:dyDescent="0.2">
      <c r="A38" s="6"/>
      <c r="B38" s="155" t="s">
        <v>185</v>
      </c>
      <c r="C38" s="168">
        <v>1800</v>
      </c>
      <c r="D38" s="172">
        <v>0.88</v>
      </c>
      <c r="E38" s="174">
        <f t="shared" si="2"/>
        <v>0.21002386634844866</v>
      </c>
      <c r="F38" s="177">
        <v>0.87</v>
      </c>
      <c r="G38" s="179">
        <f t="shared" si="3"/>
        <v>0.75</v>
      </c>
      <c r="H38" s="6"/>
      <c r="I38" s="6"/>
      <c r="J38" s="6"/>
      <c r="K38" s="6"/>
    </row>
    <row r="39" spans="1:11" x14ac:dyDescent="0.2">
      <c r="A39" s="6"/>
      <c r="B39" s="155" t="s">
        <v>186</v>
      </c>
      <c r="C39" s="168">
        <v>1600</v>
      </c>
      <c r="D39" s="172">
        <v>0.88</v>
      </c>
      <c r="E39" s="174">
        <f t="shared" si="2"/>
        <v>0.21002386634844866</v>
      </c>
      <c r="F39" s="177">
        <v>0.64</v>
      </c>
      <c r="G39" s="179">
        <f t="shared" si="3"/>
        <v>0.55172413793103459</v>
      </c>
      <c r="H39" s="6"/>
      <c r="I39" s="6"/>
      <c r="J39" s="6"/>
      <c r="K39" s="6"/>
    </row>
    <row r="40" spans="1:11" x14ac:dyDescent="0.2">
      <c r="A40" s="6"/>
      <c r="B40" s="155" t="s">
        <v>186</v>
      </c>
      <c r="C40" s="168">
        <v>1400</v>
      </c>
      <c r="D40" s="172">
        <v>0.88</v>
      </c>
      <c r="E40" s="174">
        <f t="shared" si="2"/>
        <v>0.21002386634844866</v>
      </c>
      <c r="F40" s="177">
        <v>0.57999999999999996</v>
      </c>
      <c r="G40" s="179">
        <f t="shared" si="3"/>
        <v>0.5</v>
      </c>
      <c r="H40" s="6"/>
      <c r="I40" s="6"/>
      <c r="J40" s="6"/>
      <c r="K40" s="6"/>
    </row>
    <row r="41" spans="1:11" x14ac:dyDescent="0.2">
      <c r="A41" s="6"/>
      <c r="B41" s="155" t="s">
        <v>187</v>
      </c>
      <c r="C41" s="168">
        <v>1400</v>
      </c>
      <c r="D41" s="172">
        <v>0.88</v>
      </c>
      <c r="E41" s="174">
        <f t="shared" si="2"/>
        <v>0.21002386634844866</v>
      </c>
      <c r="F41" s="177">
        <v>0.57999999999999996</v>
      </c>
      <c r="G41" s="179">
        <f t="shared" si="3"/>
        <v>0.5</v>
      </c>
      <c r="H41" s="6"/>
      <c r="I41" s="6"/>
      <c r="J41" s="6"/>
      <c r="K41" s="6"/>
    </row>
    <row r="42" spans="1:11" x14ac:dyDescent="0.2">
      <c r="A42" s="6"/>
      <c r="B42" s="155" t="s">
        <v>187</v>
      </c>
      <c r="C42" s="168">
        <v>1200</v>
      </c>
      <c r="D42" s="172">
        <v>0.88</v>
      </c>
      <c r="E42" s="174">
        <f t="shared" si="2"/>
        <v>0.21002386634844866</v>
      </c>
      <c r="F42" s="177">
        <v>0.52</v>
      </c>
      <c r="G42" s="179">
        <f t="shared" si="3"/>
        <v>0.44827586206896558</v>
      </c>
      <c r="H42" s="6"/>
      <c r="I42" s="6"/>
      <c r="J42" s="6"/>
      <c r="K42" s="6"/>
    </row>
    <row r="43" spans="1:11" x14ac:dyDescent="0.2">
      <c r="A43" s="6"/>
      <c r="B43" s="161" t="s">
        <v>188</v>
      </c>
      <c r="C43" s="169">
        <v>2800</v>
      </c>
      <c r="D43" s="172">
        <v>0.88</v>
      </c>
      <c r="E43" s="174">
        <f t="shared" si="2"/>
        <v>0.21002386634844866</v>
      </c>
      <c r="F43" s="177">
        <v>2.91</v>
      </c>
      <c r="G43" s="179">
        <f t="shared" si="3"/>
        <v>2.5086206896551726</v>
      </c>
      <c r="H43" s="6"/>
      <c r="I43" s="6"/>
      <c r="J43" s="6"/>
      <c r="K43" s="6"/>
    </row>
    <row r="44" spans="1:11" x14ac:dyDescent="0.2">
      <c r="A44" s="6"/>
      <c r="B44" s="161" t="s">
        <v>189</v>
      </c>
      <c r="C44" s="169">
        <v>2000</v>
      </c>
      <c r="D44" s="172">
        <v>0.88</v>
      </c>
      <c r="E44" s="174">
        <f t="shared" si="2"/>
        <v>0.21002386634844866</v>
      </c>
      <c r="F44" s="177">
        <v>1.28</v>
      </c>
      <c r="G44" s="179">
        <f t="shared" si="3"/>
        <v>1.1034482758620692</v>
      </c>
      <c r="H44" s="6"/>
      <c r="I44" s="6"/>
      <c r="J44" s="6"/>
      <c r="K44" s="6"/>
    </row>
    <row r="45" spans="1:11" x14ac:dyDescent="0.2">
      <c r="A45" s="6"/>
      <c r="B45" s="161" t="s">
        <v>189</v>
      </c>
      <c r="C45" s="169">
        <v>1400</v>
      </c>
      <c r="D45" s="172">
        <v>0.88</v>
      </c>
      <c r="E45" s="174">
        <f t="shared" si="2"/>
        <v>0.21002386634844866</v>
      </c>
      <c r="F45" s="177">
        <v>0.57999999999999996</v>
      </c>
      <c r="G45" s="179">
        <f t="shared" si="3"/>
        <v>0.5</v>
      </c>
      <c r="H45" s="6"/>
      <c r="I45" s="6"/>
      <c r="J45" s="6"/>
      <c r="K45" s="6"/>
    </row>
    <row r="46" spans="1:11" x14ac:dyDescent="0.2">
      <c r="A46" s="6"/>
      <c r="B46" s="161" t="s">
        <v>190</v>
      </c>
      <c r="C46" s="169">
        <v>2000</v>
      </c>
      <c r="D46" s="172">
        <v>0.88</v>
      </c>
      <c r="E46" s="174">
        <f t="shared" si="2"/>
        <v>0.21002386634844866</v>
      </c>
      <c r="F46" s="177">
        <v>1.05</v>
      </c>
      <c r="G46" s="179">
        <f t="shared" si="3"/>
        <v>0.90517241379310354</v>
      </c>
      <c r="H46" s="6"/>
      <c r="I46" s="6"/>
      <c r="J46" s="6"/>
      <c r="K46" s="6"/>
    </row>
    <row r="47" spans="1:11" x14ac:dyDescent="0.2">
      <c r="A47" s="6"/>
      <c r="B47" s="161" t="s">
        <v>190</v>
      </c>
      <c r="C47" s="169">
        <v>1000</v>
      </c>
      <c r="D47" s="172">
        <v>0.88</v>
      </c>
      <c r="E47" s="174">
        <f t="shared" si="2"/>
        <v>0.21002386634844866</v>
      </c>
      <c r="F47" s="177">
        <v>0.28999999999999998</v>
      </c>
      <c r="G47" s="179">
        <f t="shared" si="3"/>
        <v>0.25</v>
      </c>
      <c r="H47" s="6"/>
      <c r="I47" s="6"/>
      <c r="J47" s="6"/>
      <c r="K47" s="6"/>
    </row>
    <row r="48" spans="1:11" x14ac:dyDescent="0.2">
      <c r="A48" s="6"/>
      <c r="B48" s="159" t="s">
        <v>191</v>
      </c>
      <c r="C48" s="170">
        <v>500</v>
      </c>
      <c r="D48" s="172">
        <v>2.2999999999999998</v>
      </c>
      <c r="E48" s="174">
        <f t="shared" si="2"/>
        <v>0.54892601431980903</v>
      </c>
      <c r="F48" s="177">
        <v>0.14000000000000001</v>
      </c>
      <c r="G48" s="179">
        <f t="shared" si="3"/>
        <v>0.12068965517241381</v>
      </c>
      <c r="H48" s="6"/>
      <c r="I48" s="6"/>
      <c r="J48" s="6"/>
      <c r="K48" s="6"/>
    </row>
    <row r="49" spans="1:11" x14ac:dyDescent="0.2">
      <c r="A49" s="6"/>
      <c r="B49" s="159" t="s">
        <v>192</v>
      </c>
      <c r="C49" s="170">
        <v>500</v>
      </c>
      <c r="D49" s="172">
        <v>2.2999999999999998</v>
      </c>
      <c r="E49" s="174">
        <f t="shared" si="2"/>
        <v>0.54892601431980903</v>
      </c>
      <c r="F49" s="177">
        <v>0.28999999999999998</v>
      </c>
      <c r="G49" s="179">
        <f t="shared" si="3"/>
        <v>0.25</v>
      </c>
      <c r="H49" s="6"/>
      <c r="I49" s="6"/>
      <c r="J49" s="6"/>
      <c r="K49" s="6"/>
    </row>
    <row r="50" spans="1:11" x14ac:dyDescent="0.2">
      <c r="A50" s="6"/>
      <c r="B50" s="159" t="s">
        <v>193</v>
      </c>
      <c r="C50" s="170">
        <v>700</v>
      </c>
      <c r="D50" s="172">
        <v>2.2999999999999998</v>
      </c>
      <c r="E50" s="174">
        <f t="shared" si="2"/>
        <v>0.54892601431980903</v>
      </c>
      <c r="F50" s="177">
        <v>0.23</v>
      </c>
      <c r="G50" s="179">
        <f t="shared" si="3"/>
        <v>0.19827586206896555</v>
      </c>
      <c r="H50" s="6"/>
      <c r="I50" s="6"/>
      <c r="J50" s="6"/>
      <c r="K50" s="6"/>
    </row>
    <row r="51" spans="1:11" x14ac:dyDescent="0.2">
      <c r="A51" s="6"/>
      <c r="B51" s="159" t="s">
        <v>194</v>
      </c>
      <c r="C51" s="170">
        <v>700</v>
      </c>
      <c r="D51" s="172">
        <v>2.2999999999999998</v>
      </c>
      <c r="E51" s="174">
        <f t="shared" si="2"/>
        <v>0.54892601431980903</v>
      </c>
      <c r="F51" s="177">
        <v>0.41</v>
      </c>
      <c r="G51" s="179">
        <f t="shared" si="3"/>
        <v>0.35344827586206895</v>
      </c>
      <c r="H51" s="6"/>
      <c r="I51" s="6"/>
      <c r="J51" s="6"/>
      <c r="K51" s="6"/>
    </row>
    <row r="52" spans="1:11" x14ac:dyDescent="0.2">
      <c r="A52" s="6"/>
      <c r="B52" s="159" t="s">
        <v>195</v>
      </c>
      <c r="C52" s="170">
        <v>600</v>
      </c>
      <c r="D52" s="172">
        <v>2.2999999999999998</v>
      </c>
      <c r="E52" s="174">
        <f t="shared" si="2"/>
        <v>0.54892601431980903</v>
      </c>
      <c r="F52" s="177">
        <v>0.18</v>
      </c>
      <c r="G52" s="179">
        <f t="shared" si="3"/>
        <v>0.15517241379310345</v>
      </c>
      <c r="H52" s="6"/>
      <c r="I52" s="6"/>
      <c r="J52" s="6"/>
      <c r="K52" s="6"/>
    </row>
    <row r="53" spans="1:11" x14ac:dyDescent="0.2">
      <c r="A53" s="6"/>
      <c r="B53" s="159" t="s">
        <v>196</v>
      </c>
      <c r="C53" s="170">
        <v>650</v>
      </c>
      <c r="D53" s="172">
        <v>2.2999999999999998</v>
      </c>
      <c r="E53" s="174">
        <f t="shared" si="2"/>
        <v>0.54892601431980903</v>
      </c>
      <c r="F53" s="177">
        <v>0.18</v>
      </c>
      <c r="G53" s="179">
        <f t="shared" si="3"/>
        <v>0.15517241379310345</v>
      </c>
      <c r="H53" s="6"/>
      <c r="I53" s="6"/>
      <c r="J53" s="6"/>
      <c r="K53" s="6"/>
    </row>
    <row r="54" spans="1:11" x14ac:dyDescent="0.2">
      <c r="A54" s="6"/>
      <c r="B54" s="159" t="s">
        <v>197</v>
      </c>
      <c r="C54" s="170">
        <v>1000</v>
      </c>
      <c r="D54" s="172">
        <v>2.2999999999999998</v>
      </c>
      <c r="E54" s="174">
        <f t="shared" si="2"/>
        <v>0.54892601431980903</v>
      </c>
      <c r="F54" s="177">
        <v>0.28999999999999998</v>
      </c>
      <c r="G54" s="179">
        <f t="shared" si="3"/>
        <v>0.25</v>
      </c>
      <c r="H54" s="6"/>
      <c r="I54" s="6"/>
      <c r="J54" s="6"/>
      <c r="K54" s="6"/>
    </row>
    <row r="55" spans="1:11" x14ac:dyDescent="0.2">
      <c r="A55" s="6"/>
      <c r="B55" s="159" t="s">
        <v>197</v>
      </c>
      <c r="C55" s="170">
        <v>800</v>
      </c>
      <c r="D55" s="172">
        <v>2.2999999999999998</v>
      </c>
      <c r="E55" s="174">
        <f t="shared" si="2"/>
        <v>0.54892601431980903</v>
      </c>
      <c r="F55" s="177">
        <v>0.23</v>
      </c>
      <c r="G55" s="179">
        <f t="shared" si="3"/>
        <v>0.19827586206896555</v>
      </c>
      <c r="H55" s="6"/>
      <c r="I55" s="6"/>
      <c r="J55" s="6"/>
      <c r="K55" s="6"/>
    </row>
    <row r="56" spans="1:11" x14ac:dyDescent="0.2">
      <c r="A56" s="6"/>
      <c r="B56" s="159" t="s">
        <v>197</v>
      </c>
      <c r="C56" s="170">
        <v>600</v>
      </c>
      <c r="D56" s="172">
        <v>2.2999999999999998</v>
      </c>
      <c r="E56" s="174">
        <f t="shared" si="2"/>
        <v>0.54892601431980903</v>
      </c>
      <c r="F56" s="177">
        <v>0.16</v>
      </c>
      <c r="G56" s="179">
        <f t="shared" si="3"/>
        <v>0.13793103448275865</v>
      </c>
      <c r="H56" s="6"/>
      <c r="I56" s="6"/>
      <c r="J56" s="6"/>
      <c r="K56" s="6"/>
    </row>
    <row r="57" spans="1:11" x14ac:dyDescent="0.2">
      <c r="A57" s="6"/>
      <c r="B57" s="159" t="s">
        <v>197</v>
      </c>
      <c r="C57" s="170">
        <v>400</v>
      </c>
      <c r="D57" s="172">
        <v>2.2999999999999998</v>
      </c>
      <c r="E57" s="174">
        <f t="shared" si="2"/>
        <v>0.54892601431980903</v>
      </c>
      <c r="F57" s="177">
        <v>0.14000000000000001</v>
      </c>
      <c r="G57" s="179">
        <f t="shared" si="3"/>
        <v>0.12068965517241381</v>
      </c>
      <c r="H57" s="6"/>
      <c r="I57" s="6"/>
      <c r="J57" s="6"/>
      <c r="K57" s="6"/>
    </row>
    <row r="58" spans="1:11" x14ac:dyDescent="0.2">
      <c r="A58" s="6"/>
      <c r="B58" s="159" t="s">
        <v>197</v>
      </c>
      <c r="C58" s="170">
        <v>200</v>
      </c>
      <c r="D58" s="172">
        <v>2.2999999999999998</v>
      </c>
      <c r="E58" s="174">
        <f t="shared" si="2"/>
        <v>0.54892601431980903</v>
      </c>
      <c r="F58" s="177">
        <v>0.08</v>
      </c>
      <c r="G58" s="179">
        <f t="shared" si="3"/>
        <v>6.8965517241379323E-2</v>
      </c>
      <c r="H58" s="6"/>
      <c r="I58" s="6"/>
      <c r="J58" s="6"/>
      <c r="K58" s="6"/>
    </row>
    <row r="59" spans="1:11" ht="13.5" thickBot="1" x14ac:dyDescent="0.25">
      <c r="A59" s="6"/>
      <c r="B59" s="160" t="s">
        <v>198</v>
      </c>
      <c r="C59" s="171">
        <v>800</v>
      </c>
      <c r="D59" s="175">
        <v>2.2999999999999998</v>
      </c>
      <c r="E59" s="176">
        <f t="shared" si="2"/>
        <v>0.54892601431980903</v>
      </c>
      <c r="F59" s="180">
        <v>0.3</v>
      </c>
      <c r="G59" s="181">
        <f t="shared" si="3"/>
        <v>0.25862068965517243</v>
      </c>
      <c r="H59" s="6"/>
      <c r="I59" s="6"/>
      <c r="J59" s="6"/>
      <c r="K59" s="6"/>
    </row>
    <row r="60" spans="1:11" ht="13.5" thickTop="1" x14ac:dyDescent="0.2">
      <c r="A60" s="6"/>
      <c r="B60" s="252" t="s">
        <v>689</v>
      </c>
      <c r="C60" s="310">
        <v>300</v>
      </c>
      <c r="D60" s="172">
        <v>0.84</v>
      </c>
      <c r="E60" s="174">
        <f t="shared" si="2"/>
        <v>0.20047732696897372</v>
      </c>
      <c r="F60" s="177">
        <v>0.11</v>
      </c>
      <c r="G60" s="179">
        <f t="shared" si="3"/>
        <v>9.4827586206896561E-2</v>
      </c>
      <c r="H60" s="6"/>
      <c r="I60" s="6"/>
      <c r="J60" s="6"/>
      <c r="K60" s="6"/>
    </row>
    <row r="61" spans="1:11" x14ac:dyDescent="0.2">
      <c r="A61" s="6"/>
      <c r="B61" s="252" t="s">
        <v>689</v>
      </c>
      <c r="C61" s="310">
        <v>400</v>
      </c>
      <c r="D61" s="172">
        <v>0.84</v>
      </c>
      <c r="E61" s="174">
        <f t="shared" si="2"/>
        <v>0.20047732696897372</v>
      </c>
      <c r="F61" s="177">
        <v>0.13</v>
      </c>
      <c r="G61" s="179">
        <f t="shared" si="3"/>
        <v>0.1120689655172414</v>
      </c>
      <c r="H61" s="6"/>
      <c r="I61" s="6"/>
      <c r="J61" s="6"/>
      <c r="K61" s="6"/>
    </row>
    <row r="62" spans="1:11" x14ac:dyDescent="0.2">
      <c r="A62" s="6"/>
      <c r="B62" s="252" t="s">
        <v>689</v>
      </c>
      <c r="C62" s="310">
        <v>450</v>
      </c>
      <c r="D62" s="172">
        <v>0.84</v>
      </c>
      <c r="E62" s="174">
        <f t="shared" si="2"/>
        <v>0.20047732696897372</v>
      </c>
      <c r="F62" s="177">
        <v>0.14000000000000001</v>
      </c>
      <c r="G62" s="179">
        <f t="shared" si="3"/>
        <v>0.12068965517241381</v>
      </c>
      <c r="H62" s="6"/>
      <c r="I62" s="6"/>
      <c r="J62" s="6"/>
      <c r="K62" s="6"/>
    </row>
    <row r="63" spans="1:11" x14ac:dyDescent="0.2">
      <c r="A63" s="6"/>
      <c r="B63" s="252" t="s">
        <v>689</v>
      </c>
      <c r="C63" s="310">
        <v>500</v>
      </c>
      <c r="D63" s="172">
        <v>0.84</v>
      </c>
      <c r="E63" s="174">
        <f t="shared" si="2"/>
        <v>0.20047732696897372</v>
      </c>
      <c r="F63" s="177">
        <v>0.15</v>
      </c>
      <c r="G63" s="179">
        <f t="shared" si="3"/>
        <v>0.12931034482758622</v>
      </c>
      <c r="H63" s="6"/>
      <c r="I63" s="6"/>
      <c r="J63" s="6"/>
      <c r="K63" s="6"/>
    </row>
    <row r="64" spans="1:11" ht="13.5" thickBot="1" x14ac:dyDescent="0.25">
      <c r="B64" s="311" t="s">
        <v>689</v>
      </c>
      <c r="C64" s="312">
        <v>600</v>
      </c>
      <c r="D64" s="175">
        <v>0.84</v>
      </c>
      <c r="E64" s="176">
        <f t="shared" si="2"/>
        <v>0.20047732696897372</v>
      </c>
      <c r="F64" s="180">
        <v>0.17</v>
      </c>
      <c r="G64" s="181">
        <f t="shared" si="3"/>
        <v>0.14655172413793105</v>
      </c>
    </row>
    <row r="65" ht="13.5" thickTop="1" x14ac:dyDescent="0.2"/>
  </sheetData>
  <sheetProtection sheet="1" objects="1" scenarios="1"/>
  <mergeCells count="3">
    <mergeCell ref="B2:B3"/>
    <mergeCell ref="D2:E2"/>
    <mergeCell ref="F2:G2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1"/>
  <sheetViews>
    <sheetView showGridLines="0" zoomScale="160" zoomScaleNormal="160" workbookViewId="0">
      <selection activeCell="O14" sqref="O14"/>
    </sheetView>
  </sheetViews>
  <sheetFormatPr defaultRowHeight="12.75" x14ac:dyDescent="0.2"/>
  <cols>
    <col min="1" max="1" width="8.28515625" customWidth="1"/>
    <col min="2" max="2" width="15.140625" customWidth="1"/>
    <col min="4" max="4" width="10.7109375" customWidth="1"/>
    <col min="12" max="12" width="7.140625" customWidth="1"/>
    <col min="14" max="14" width="6" customWidth="1"/>
  </cols>
  <sheetData>
    <row r="1" spans="1:16" ht="58.5" customHeight="1" thickBot="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313"/>
    </row>
    <row r="2" spans="1:16" ht="13.5" thickTop="1" x14ac:dyDescent="0.2">
      <c r="A2" s="89"/>
      <c r="B2" s="371" t="s">
        <v>88</v>
      </c>
      <c r="C2" s="372"/>
      <c r="D2" s="368" t="s">
        <v>89</v>
      </c>
      <c r="E2" s="368" t="s">
        <v>91</v>
      </c>
      <c r="F2" s="368"/>
      <c r="G2" s="368" t="s">
        <v>93</v>
      </c>
      <c r="H2" s="368"/>
      <c r="I2" s="368"/>
      <c r="J2" s="369"/>
      <c r="K2" s="89"/>
      <c r="L2" s="313"/>
    </row>
    <row r="3" spans="1:16" x14ac:dyDescent="0.2">
      <c r="A3" s="89"/>
      <c r="B3" s="373"/>
      <c r="C3" s="374"/>
      <c r="D3" s="370"/>
      <c r="E3" s="102" t="s">
        <v>76</v>
      </c>
      <c r="F3" s="102" t="s">
        <v>92</v>
      </c>
      <c r="G3" s="102" t="s">
        <v>73</v>
      </c>
      <c r="H3" s="102" t="s">
        <v>106</v>
      </c>
      <c r="I3" s="102" t="s">
        <v>75</v>
      </c>
      <c r="J3" s="103" t="s">
        <v>94</v>
      </c>
      <c r="K3" s="89"/>
      <c r="L3" s="315">
        <v>33</v>
      </c>
      <c r="M3" s="314" t="s">
        <v>267</v>
      </c>
    </row>
    <row r="4" spans="1:16" x14ac:dyDescent="0.2">
      <c r="A4" s="89"/>
      <c r="B4" s="373"/>
      <c r="C4" s="374"/>
      <c r="D4" s="104" t="s">
        <v>90</v>
      </c>
      <c r="E4" s="375" t="s">
        <v>95</v>
      </c>
      <c r="F4" s="375"/>
      <c r="G4" s="375" t="s">
        <v>95</v>
      </c>
      <c r="H4" s="375"/>
      <c r="I4" s="375"/>
      <c r="J4" s="376"/>
      <c r="K4" s="89"/>
      <c r="L4" s="313">
        <f>ROUND(L3/1.16*1000,0)</f>
        <v>28448</v>
      </c>
      <c r="M4" t="s">
        <v>268</v>
      </c>
    </row>
    <row r="5" spans="1:16" x14ac:dyDescent="0.2">
      <c r="A5" s="89"/>
      <c r="B5" s="105" t="s">
        <v>66</v>
      </c>
      <c r="C5" s="79" t="s">
        <v>77</v>
      </c>
      <c r="D5" s="104">
        <v>2566</v>
      </c>
      <c r="E5" s="104">
        <v>0.5</v>
      </c>
      <c r="F5" s="104">
        <v>2.38</v>
      </c>
      <c r="G5" s="104"/>
      <c r="H5" s="104">
        <v>1</v>
      </c>
      <c r="I5" s="106">
        <v>1.88</v>
      </c>
      <c r="J5" s="107">
        <v>2.88</v>
      </c>
      <c r="K5" s="89"/>
      <c r="L5" s="315">
        <v>7960</v>
      </c>
      <c r="M5" t="s">
        <v>90</v>
      </c>
      <c r="N5" s="315">
        <v>0.92</v>
      </c>
      <c r="O5" t="s">
        <v>692</v>
      </c>
    </row>
    <row r="6" spans="1:16" x14ac:dyDescent="0.2">
      <c r="A6" s="89"/>
      <c r="B6" s="105" t="s">
        <v>96</v>
      </c>
      <c r="C6" s="79" t="s">
        <v>97</v>
      </c>
      <c r="D6" s="104">
        <v>3018</v>
      </c>
      <c r="E6" s="104">
        <v>0.5</v>
      </c>
      <c r="F6" s="104">
        <v>2.38</v>
      </c>
      <c r="G6" s="104">
        <v>1</v>
      </c>
      <c r="H6" s="104"/>
      <c r="I6" s="106">
        <v>1.88</v>
      </c>
      <c r="J6" s="107">
        <v>2.88</v>
      </c>
      <c r="K6" s="89"/>
      <c r="L6" s="313"/>
    </row>
    <row r="7" spans="1:16" x14ac:dyDescent="0.2">
      <c r="A7" s="89"/>
      <c r="B7" s="113" t="s">
        <v>70</v>
      </c>
      <c r="C7" s="112" t="s">
        <v>78</v>
      </c>
      <c r="D7" s="114">
        <v>8529</v>
      </c>
      <c r="E7" s="114">
        <v>2</v>
      </c>
      <c r="F7" s="114">
        <v>9.52</v>
      </c>
      <c r="G7" s="114">
        <v>1</v>
      </c>
      <c r="H7" s="114">
        <v>2</v>
      </c>
      <c r="I7" s="115">
        <v>7.52</v>
      </c>
      <c r="J7" s="116">
        <v>10.52</v>
      </c>
      <c r="K7" s="89"/>
      <c r="L7" s="313" t="s">
        <v>691</v>
      </c>
    </row>
    <row r="8" spans="1:16" x14ac:dyDescent="0.2">
      <c r="A8" s="89"/>
      <c r="B8" s="105" t="s">
        <v>65</v>
      </c>
      <c r="C8" s="79" t="s">
        <v>85</v>
      </c>
      <c r="D8" s="104">
        <v>13483</v>
      </c>
      <c r="E8" s="104">
        <v>2.5</v>
      </c>
      <c r="F8" s="104">
        <v>11.9</v>
      </c>
      <c r="G8" s="104">
        <v>2</v>
      </c>
      <c r="H8" s="104">
        <v>1</v>
      </c>
      <c r="I8" s="106">
        <v>9.4</v>
      </c>
      <c r="J8" s="107">
        <v>12.4</v>
      </c>
      <c r="K8" s="89"/>
      <c r="L8" s="313" t="str">
        <f>CONCATENATE(ROUND(L4,0)," / (", L5,"*",N5,")   = ")</f>
        <v xml:space="preserve">28448 / (7960*0,92)   = </v>
      </c>
      <c r="O8" s="316">
        <f>L4/L5/N5</f>
        <v>3.8846405942757261</v>
      </c>
      <c r="P8" t="s">
        <v>693</v>
      </c>
    </row>
    <row r="9" spans="1:16" x14ac:dyDescent="0.2">
      <c r="A9" s="89"/>
      <c r="B9" s="105" t="s">
        <v>98</v>
      </c>
      <c r="C9" s="79" t="s">
        <v>100</v>
      </c>
      <c r="D9" s="104">
        <v>14203</v>
      </c>
      <c r="E9" s="104">
        <v>3</v>
      </c>
      <c r="F9" s="104">
        <v>14.28</v>
      </c>
      <c r="G9" s="104">
        <v>2</v>
      </c>
      <c r="H9" s="104">
        <v>2</v>
      </c>
      <c r="I9" s="106">
        <v>11.28</v>
      </c>
      <c r="J9" s="107">
        <v>15.28</v>
      </c>
      <c r="K9" s="89"/>
      <c r="L9" s="313"/>
    </row>
    <row r="10" spans="1:16" x14ac:dyDescent="0.2">
      <c r="A10" s="89"/>
      <c r="B10" s="105" t="s">
        <v>99</v>
      </c>
      <c r="C10" s="79" t="s">
        <v>101</v>
      </c>
      <c r="D10" s="104">
        <v>15185</v>
      </c>
      <c r="E10" s="104">
        <v>3.5</v>
      </c>
      <c r="F10" s="104">
        <v>16.66</v>
      </c>
      <c r="G10" s="104">
        <v>2</v>
      </c>
      <c r="H10" s="104">
        <v>3</v>
      </c>
      <c r="I10" s="106">
        <v>13.16</v>
      </c>
      <c r="J10" s="107">
        <v>18.16</v>
      </c>
      <c r="K10" s="89"/>
      <c r="L10" s="313"/>
    </row>
    <row r="11" spans="1:16" x14ac:dyDescent="0.2">
      <c r="A11" s="89"/>
      <c r="B11" s="105" t="s">
        <v>102</v>
      </c>
      <c r="C11" s="79" t="s">
        <v>103</v>
      </c>
      <c r="D11" s="104">
        <v>21742</v>
      </c>
      <c r="E11" s="104">
        <v>5</v>
      </c>
      <c r="F11" s="104">
        <v>23.8</v>
      </c>
      <c r="G11" s="104">
        <v>3</v>
      </c>
      <c r="H11" s="104">
        <v>4</v>
      </c>
      <c r="I11" s="106">
        <v>18.8</v>
      </c>
      <c r="J11" s="107">
        <v>25.8</v>
      </c>
      <c r="K11" s="89"/>
      <c r="L11" s="313"/>
    </row>
    <row r="12" spans="1:16" ht="13.5" thickBot="1" x14ac:dyDescent="0.25">
      <c r="A12" s="89"/>
      <c r="B12" s="108" t="s">
        <v>104</v>
      </c>
      <c r="C12" s="100" t="s">
        <v>105</v>
      </c>
      <c r="D12" s="109">
        <v>5585</v>
      </c>
      <c r="E12" s="109">
        <v>1.5</v>
      </c>
      <c r="F12" s="109">
        <v>7.14</v>
      </c>
      <c r="G12" s="109" t="s">
        <v>107</v>
      </c>
      <c r="H12" s="109">
        <v>1</v>
      </c>
      <c r="I12" s="110">
        <v>5.64</v>
      </c>
      <c r="J12" s="111">
        <v>7.64</v>
      </c>
      <c r="K12" s="89"/>
      <c r="L12" s="313"/>
    </row>
    <row r="13" spans="1:16" ht="13.5" thickTop="1" x14ac:dyDescent="0.2">
      <c r="A13" s="89"/>
      <c r="B13" s="89"/>
      <c r="C13" s="101"/>
      <c r="D13" s="89"/>
      <c r="E13" s="89"/>
      <c r="F13" s="89"/>
      <c r="G13" s="89"/>
      <c r="H13" s="89"/>
      <c r="I13" s="89"/>
      <c r="J13" s="89"/>
      <c r="K13" s="89"/>
      <c r="L13" s="89"/>
    </row>
    <row r="14" spans="1:16" x14ac:dyDescent="0.2">
      <c r="A14" s="89"/>
      <c r="B14" s="89"/>
      <c r="C14" s="101"/>
      <c r="D14" s="89"/>
      <c r="E14" s="89"/>
      <c r="F14" s="89"/>
      <c r="G14" s="89"/>
      <c r="H14" s="89"/>
      <c r="I14" s="89"/>
      <c r="J14" s="89"/>
      <c r="K14" s="89"/>
      <c r="L14" s="89"/>
    </row>
    <row r="15" spans="1:16" x14ac:dyDescent="0.2">
      <c r="A15" s="89"/>
      <c r="B15" s="89"/>
      <c r="C15" s="101"/>
      <c r="D15" s="89"/>
      <c r="E15" s="89"/>
      <c r="F15" s="89"/>
      <c r="G15" s="89"/>
      <c r="H15" s="89"/>
      <c r="I15" s="89"/>
      <c r="J15" s="89"/>
      <c r="K15" s="89"/>
      <c r="L15" s="89"/>
    </row>
    <row r="16" spans="1:16" x14ac:dyDescent="0.2">
      <c r="A16" s="89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</row>
    <row r="17" spans="1:12" x14ac:dyDescent="0.2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</row>
    <row r="18" spans="1:12" x14ac:dyDescent="0.2">
      <c r="A18" s="89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2">
      <c r="A19" s="89"/>
      <c r="B19" s="89"/>
      <c r="C19" s="89"/>
      <c r="D19" s="89"/>
      <c r="E19" s="89"/>
      <c r="F19" s="89"/>
      <c r="G19" s="89"/>
      <c r="H19" s="89"/>
      <c r="I19" s="89"/>
      <c r="J19" s="89"/>
      <c r="K19" s="89"/>
      <c r="L19" s="89"/>
    </row>
    <row r="20" spans="1:12" x14ac:dyDescent="0.2">
      <c r="A20" s="89"/>
      <c r="B20" s="89"/>
      <c r="C20" s="89"/>
      <c r="D20" s="89"/>
      <c r="E20" s="89"/>
      <c r="F20" s="89"/>
      <c r="G20" s="89"/>
      <c r="H20" s="89"/>
      <c r="I20" s="89"/>
      <c r="J20" s="89"/>
      <c r="K20" s="89"/>
      <c r="L20" s="89"/>
    </row>
    <row r="21" spans="1:12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</sheetData>
  <sheetProtection sheet="1" objects="1" scenarios="1"/>
  <mergeCells count="6">
    <mergeCell ref="E2:F2"/>
    <mergeCell ref="G2:J2"/>
    <mergeCell ref="D2:D3"/>
    <mergeCell ref="B2:C4"/>
    <mergeCell ref="E4:F4"/>
    <mergeCell ref="G4:J4"/>
  </mergeCells>
  <phoneticPr fontId="0" type="noConversion"/>
  <pageMargins left="0.75" right="0.75" top="1" bottom="1" header="0.5" footer="0.5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3"/>
  <sheetViews>
    <sheetView showGridLines="0" zoomScale="175" zoomScaleNormal="175" workbookViewId="0">
      <selection activeCell="G2" sqref="G2"/>
    </sheetView>
  </sheetViews>
  <sheetFormatPr defaultRowHeight="12.75" x14ac:dyDescent="0.2"/>
  <cols>
    <col min="1" max="1" width="4.85546875" customWidth="1"/>
    <col min="2" max="2" width="4.5703125" customWidth="1"/>
    <col min="3" max="3" width="18.140625" customWidth="1"/>
    <col min="4" max="4" width="12.28515625" hidden="1" customWidth="1"/>
    <col min="5" max="5" width="10" customWidth="1"/>
    <col min="6" max="6" width="10.42578125" customWidth="1"/>
    <col min="8" max="8" width="4" customWidth="1"/>
    <col min="9" max="9" width="23" customWidth="1"/>
    <col min="10" max="10" width="9.140625" hidden="1" customWidth="1"/>
  </cols>
  <sheetData>
    <row r="1" spans="1:13" ht="13.5" thickBot="1" x14ac:dyDescent="0.25">
      <c r="A1" s="203"/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</row>
    <row r="2" spans="1:13" ht="38.25" customHeight="1" thickTop="1" x14ac:dyDescent="0.2">
      <c r="A2" s="203"/>
      <c r="B2" s="377" t="s">
        <v>216</v>
      </c>
      <c r="C2" s="379" t="s">
        <v>232</v>
      </c>
      <c r="D2" s="204" t="s">
        <v>217</v>
      </c>
      <c r="E2" s="381" t="s">
        <v>247</v>
      </c>
      <c r="F2" s="382"/>
      <c r="G2" s="203"/>
      <c r="H2" s="377" t="s">
        <v>216</v>
      </c>
      <c r="I2" s="379" t="s">
        <v>250</v>
      </c>
      <c r="J2" s="204" t="s">
        <v>217</v>
      </c>
      <c r="K2" s="381" t="s">
        <v>248</v>
      </c>
      <c r="L2" s="382"/>
      <c r="M2" s="203"/>
    </row>
    <row r="3" spans="1:13" x14ac:dyDescent="0.2">
      <c r="A3" s="203"/>
      <c r="B3" s="378"/>
      <c r="C3" s="380"/>
      <c r="D3" s="205" t="s">
        <v>4</v>
      </c>
      <c r="E3" s="205" t="s">
        <v>230</v>
      </c>
      <c r="F3" s="206" t="s">
        <v>231</v>
      </c>
      <c r="G3" s="203"/>
      <c r="H3" s="378"/>
      <c r="I3" s="380"/>
      <c r="J3" s="205" t="s">
        <v>4</v>
      </c>
      <c r="K3" s="205" t="s">
        <v>249</v>
      </c>
      <c r="L3" s="206" t="s">
        <v>8</v>
      </c>
      <c r="M3" s="203"/>
    </row>
    <row r="4" spans="1:13" x14ac:dyDescent="0.2">
      <c r="A4" s="203"/>
      <c r="B4" s="53">
        <v>1</v>
      </c>
      <c r="C4" s="198" t="s">
        <v>233</v>
      </c>
      <c r="D4" s="42">
        <f>933-273</f>
        <v>660</v>
      </c>
      <c r="E4" s="42">
        <v>11300</v>
      </c>
      <c r="F4" s="199">
        <v>10500</v>
      </c>
      <c r="G4" s="203"/>
      <c r="H4" s="53">
        <v>1</v>
      </c>
      <c r="I4" s="202" t="s">
        <v>251</v>
      </c>
      <c r="J4" s="42">
        <f>933-273</f>
        <v>660</v>
      </c>
      <c r="K4" s="42">
        <v>35.700000000000003</v>
      </c>
      <c r="L4" s="199">
        <f>K4/0.00419</f>
        <v>8520.2863961813855</v>
      </c>
      <c r="M4" s="203"/>
    </row>
    <row r="5" spans="1:13" x14ac:dyDescent="0.2">
      <c r="A5" s="203"/>
      <c r="B5" s="53">
        <f t="shared" ref="B5:B10" si="0">B4+1</f>
        <v>2</v>
      </c>
      <c r="C5" s="198" t="s">
        <v>113</v>
      </c>
      <c r="D5" s="42">
        <f>1803-273</f>
        <v>1530</v>
      </c>
      <c r="E5" s="42">
        <v>11050</v>
      </c>
      <c r="F5" s="199">
        <v>10300</v>
      </c>
      <c r="G5" s="203"/>
      <c r="H5" s="53">
        <f t="shared" ref="H5:H10" si="1">H4+1</f>
        <v>2</v>
      </c>
      <c r="I5" s="202" t="s">
        <v>251</v>
      </c>
      <c r="J5" s="42">
        <f>1803-273</f>
        <v>1530</v>
      </c>
      <c r="K5" s="42">
        <v>39.4</v>
      </c>
      <c r="L5" s="199">
        <f t="shared" ref="L5:L18" si="2">K5/0.00419</f>
        <v>9403.3412887828163</v>
      </c>
      <c r="M5" s="203"/>
    </row>
    <row r="6" spans="1:13" x14ac:dyDescent="0.2">
      <c r="A6" s="203"/>
      <c r="B6" s="53">
        <f t="shared" si="0"/>
        <v>3</v>
      </c>
      <c r="C6" s="198" t="s">
        <v>234</v>
      </c>
      <c r="D6" s="42">
        <f>1173-273</f>
        <v>900</v>
      </c>
      <c r="E6" s="42">
        <v>10300</v>
      </c>
      <c r="F6" s="199">
        <v>9700</v>
      </c>
      <c r="G6" s="203"/>
      <c r="H6" s="53">
        <f t="shared" si="1"/>
        <v>3</v>
      </c>
      <c r="I6" s="202" t="s">
        <v>252</v>
      </c>
      <c r="J6" s="42">
        <f>1173-273</f>
        <v>900</v>
      </c>
      <c r="K6" s="42">
        <v>35.700000000000003</v>
      </c>
      <c r="L6" s="199">
        <f t="shared" si="2"/>
        <v>8520.2863961813855</v>
      </c>
      <c r="M6" s="203"/>
    </row>
    <row r="7" spans="1:13" x14ac:dyDescent="0.2">
      <c r="A7" s="203"/>
      <c r="B7" s="53">
        <f t="shared" si="0"/>
        <v>4</v>
      </c>
      <c r="C7" s="198" t="s">
        <v>235</v>
      </c>
      <c r="D7" s="42">
        <v>0</v>
      </c>
      <c r="E7" s="42">
        <v>2870</v>
      </c>
      <c r="F7" s="199">
        <v>2440</v>
      </c>
      <c r="G7" s="203"/>
      <c r="H7" s="53">
        <f t="shared" si="1"/>
        <v>4</v>
      </c>
      <c r="I7" s="202" t="s">
        <v>253</v>
      </c>
      <c r="J7" s="42">
        <v>0</v>
      </c>
      <c r="K7" s="42">
        <v>35.4</v>
      </c>
      <c r="L7" s="199">
        <f t="shared" si="2"/>
        <v>8448.6873508353219</v>
      </c>
      <c r="M7" s="203"/>
    </row>
    <row r="8" spans="1:13" x14ac:dyDescent="0.2">
      <c r="A8" s="203"/>
      <c r="B8" s="53">
        <f t="shared" si="0"/>
        <v>5</v>
      </c>
      <c r="C8" s="198" t="s">
        <v>236</v>
      </c>
      <c r="D8" s="42">
        <f>1356-273</f>
        <v>1083</v>
      </c>
      <c r="E8" s="42">
        <v>2970</v>
      </c>
      <c r="F8" s="199">
        <v>2560</v>
      </c>
      <c r="G8" s="203"/>
      <c r="H8" s="53">
        <f t="shared" si="1"/>
        <v>5</v>
      </c>
      <c r="I8" s="202" t="s">
        <v>254</v>
      </c>
      <c r="J8" s="42">
        <f>1356-273</f>
        <v>1083</v>
      </c>
      <c r="K8" s="42">
        <v>37.799999999999997</v>
      </c>
      <c r="L8" s="199">
        <f t="shared" si="2"/>
        <v>9021.4797136038178</v>
      </c>
      <c r="M8" s="203"/>
    </row>
    <row r="9" spans="1:13" x14ac:dyDescent="0.2">
      <c r="A9" s="203"/>
      <c r="B9" s="53">
        <f t="shared" si="0"/>
        <v>6</v>
      </c>
      <c r="C9" s="198" t="s">
        <v>237</v>
      </c>
      <c r="D9" s="42">
        <f>505-273</f>
        <v>232</v>
      </c>
      <c r="E9" s="42">
        <v>2470</v>
      </c>
      <c r="F9" s="199">
        <v>2030</v>
      </c>
      <c r="G9" s="203"/>
      <c r="H9" s="53">
        <f t="shared" si="1"/>
        <v>6</v>
      </c>
      <c r="I9" s="202" t="s">
        <v>255</v>
      </c>
      <c r="J9" s="42">
        <f>505-273</f>
        <v>232</v>
      </c>
      <c r="K9" s="42">
        <v>36.700000000000003</v>
      </c>
      <c r="L9" s="199">
        <f t="shared" si="2"/>
        <v>8758.9498806682586</v>
      </c>
      <c r="M9" s="203"/>
    </row>
    <row r="10" spans="1:13" x14ac:dyDescent="0.2">
      <c r="A10" s="203"/>
      <c r="B10" s="53">
        <f t="shared" si="0"/>
        <v>7</v>
      </c>
      <c r="C10" s="198" t="s">
        <v>238</v>
      </c>
      <c r="D10" s="42">
        <f>600-273</f>
        <v>327</v>
      </c>
      <c r="E10" s="42"/>
      <c r="F10" s="199"/>
      <c r="G10" s="203"/>
      <c r="H10" s="53">
        <f t="shared" si="1"/>
        <v>7</v>
      </c>
      <c r="I10" s="202" t="s">
        <v>256</v>
      </c>
      <c r="J10" s="42">
        <f>600-273</f>
        <v>327</v>
      </c>
      <c r="K10" s="42">
        <v>35.6</v>
      </c>
      <c r="L10" s="199">
        <f t="shared" si="2"/>
        <v>8496.4200477326976</v>
      </c>
      <c r="M10" s="203"/>
    </row>
    <row r="11" spans="1:13" x14ac:dyDescent="0.2">
      <c r="A11" s="203"/>
      <c r="B11" s="53" t="s">
        <v>242</v>
      </c>
      <c r="C11" s="201" t="s">
        <v>239</v>
      </c>
      <c r="D11" s="42">
        <f>1233-273</f>
        <v>960</v>
      </c>
      <c r="E11" s="42">
        <v>4030</v>
      </c>
      <c r="F11" s="199">
        <v>3770</v>
      </c>
      <c r="G11" s="203"/>
      <c r="H11" s="53">
        <f xml:space="preserve"> H10+1</f>
        <v>8</v>
      </c>
      <c r="I11" s="202" t="s">
        <v>257</v>
      </c>
      <c r="J11" s="42">
        <f>1233-273</f>
        <v>960</v>
      </c>
      <c r="K11" s="42">
        <v>38.200000000000003</v>
      </c>
      <c r="L11" s="199">
        <f t="shared" si="2"/>
        <v>9116.9451073985692</v>
      </c>
      <c r="M11" s="203"/>
    </row>
    <row r="12" spans="1:13" x14ac:dyDescent="0.2">
      <c r="A12" s="203"/>
      <c r="B12" s="53"/>
      <c r="C12" s="201" t="s">
        <v>240</v>
      </c>
      <c r="D12" s="42"/>
      <c r="E12" s="42">
        <v>2830</v>
      </c>
      <c r="F12" s="54">
        <v>2510</v>
      </c>
      <c r="G12" s="203"/>
      <c r="H12" s="53">
        <f t="shared" ref="H12:H18" si="3" xml:space="preserve"> H11+1</f>
        <v>9</v>
      </c>
      <c r="I12" s="202" t="s">
        <v>258</v>
      </c>
      <c r="J12" s="42"/>
      <c r="K12" s="42">
        <v>37.4</v>
      </c>
      <c r="L12" s="199">
        <f t="shared" si="2"/>
        <v>8926.0143198090682</v>
      </c>
      <c r="M12" s="203"/>
    </row>
    <row r="13" spans="1:13" x14ac:dyDescent="0.2">
      <c r="A13" s="203"/>
      <c r="B13" s="53"/>
      <c r="C13" s="201" t="s">
        <v>241</v>
      </c>
      <c r="D13" s="42"/>
      <c r="E13" s="42">
        <v>1970</v>
      </c>
      <c r="F13" s="54">
        <v>1650</v>
      </c>
      <c r="G13" s="203"/>
      <c r="H13" s="53">
        <f t="shared" si="3"/>
        <v>10</v>
      </c>
      <c r="I13" s="202" t="s">
        <v>259</v>
      </c>
      <c r="J13" s="42"/>
      <c r="K13" s="42">
        <v>33.799999999999997</v>
      </c>
      <c r="L13" s="199">
        <f t="shared" si="2"/>
        <v>8066.8257756563235</v>
      </c>
      <c r="M13" s="203"/>
    </row>
    <row r="14" spans="1:13" x14ac:dyDescent="0.2">
      <c r="A14" s="203"/>
      <c r="B14" s="53">
        <v>8</v>
      </c>
      <c r="C14" s="198" t="s">
        <v>228</v>
      </c>
      <c r="D14" s="42"/>
      <c r="E14" s="42"/>
      <c r="F14" s="54"/>
      <c r="G14" s="203"/>
      <c r="H14" s="53">
        <f t="shared" si="3"/>
        <v>11</v>
      </c>
      <c r="I14" s="202" t="s">
        <v>260</v>
      </c>
      <c r="J14" s="42"/>
      <c r="K14" s="42">
        <v>34.299999999999997</v>
      </c>
      <c r="L14" s="199">
        <f t="shared" si="2"/>
        <v>8186.15751789976</v>
      </c>
      <c r="M14" s="203"/>
    </row>
    <row r="15" spans="1:13" x14ac:dyDescent="0.2">
      <c r="A15" s="203"/>
      <c r="B15" s="53"/>
      <c r="C15" s="201" t="s">
        <v>243</v>
      </c>
      <c r="D15" s="42"/>
      <c r="E15" s="42">
        <v>5120</v>
      </c>
      <c r="F15" s="54">
        <v>4840</v>
      </c>
      <c r="G15" s="203"/>
      <c r="H15" s="53">
        <f t="shared" si="3"/>
        <v>12</v>
      </c>
      <c r="I15" s="202" t="s">
        <v>261</v>
      </c>
      <c r="J15" s="42"/>
      <c r="K15" s="42">
        <v>34.4</v>
      </c>
      <c r="L15" s="199">
        <f t="shared" si="2"/>
        <v>8210.0238663484488</v>
      </c>
      <c r="M15" s="203"/>
    </row>
    <row r="16" spans="1:13" x14ac:dyDescent="0.2">
      <c r="A16" s="203"/>
      <c r="B16" s="53"/>
      <c r="C16" s="201" t="s">
        <v>244</v>
      </c>
      <c r="D16" s="42"/>
      <c r="E16" s="42">
        <v>6760</v>
      </c>
      <c r="F16" s="54">
        <v>6550</v>
      </c>
      <c r="G16" s="203"/>
      <c r="H16" s="53">
        <f t="shared" si="3"/>
        <v>13</v>
      </c>
      <c r="I16" s="202" t="s">
        <v>262</v>
      </c>
      <c r="J16" s="42"/>
      <c r="K16" s="42">
        <v>34.1</v>
      </c>
      <c r="L16" s="199">
        <f t="shared" si="2"/>
        <v>8138.424821002387</v>
      </c>
      <c r="M16" s="203"/>
    </row>
    <row r="17" spans="1:13" x14ac:dyDescent="0.2">
      <c r="A17" s="203"/>
      <c r="B17" s="53">
        <v>9</v>
      </c>
      <c r="C17" s="198" t="s">
        <v>245</v>
      </c>
      <c r="D17" s="42"/>
      <c r="E17" s="42">
        <v>6600</v>
      </c>
      <c r="F17" s="54">
        <v>6500</v>
      </c>
      <c r="G17" s="203"/>
      <c r="H17" s="53">
        <f t="shared" si="3"/>
        <v>14</v>
      </c>
      <c r="I17" s="202" t="s">
        <v>263</v>
      </c>
      <c r="J17" s="42"/>
      <c r="K17" s="42">
        <v>34.200000000000003</v>
      </c>
      <c r="L17" s="199">
        <f t="shared" si="2"/>
        <v>8162.291169451074</v>
      </c>
      <c r="M17" s="203"/>
    </row>
    <row r="18" spans="1:13" x14ac:dyDescent="0.2">
      <c r="A18" s="203"/>
      <c r="B18" s="53">
        <v>10</v>
      </c>
      <c r="C18" s="198" t="s">
        <v>246</v>
      </c>
      <c r="D18" s="42"/>
      <c r="E18" s="42">
        <v>8100</v>
      </c>
      <c r="F18" s="54">
        <v>8100</v>
      </c>
      <c r="G18" s="203"/>
      <c r="H18" s="53">
        <f t="shared" si="3"/>
        <v>15</v>
      </c>
      <c r="I18" s="202" t="s">
        <v>264</v>
      </c>
      <c r="J18" s="42"/>
      <c r="K18" s="42">
        <v>37.9</v>
      </c>
      <c r="L18" s="199">
        <f t="shared" si="2"/>
        <v>9045.3460620525057</v>
      </c>
      <c r="M18" s="203"/>
    </row>
    <row r="19" spans="1:13" x14ac:dyDescent="0.2">
      <c r="A19" s="203"/>
      <c r="B19" s="53">
        <v>11</v>
      </c>
      <c r="C19" s="198" t="s">
        <v>277</v>
      </c>
      <c r="D19" s="42"/>
      <c r="E19" s="42"/>
      <c r="F19" s="54">
        <v>4130</v>
      </c>
      <c r="G19" s="203"/>
      <c r="H19" s="53">
        <v>16</v>
      </c>
      <c r="I19" s="198" t="s">
        <v>275</v>
      </c>
      <c r="J19" s="42"/>
      <c r="K19" s="43">
        <f>L19*0.00419</f>
        <v>5.0280000000000005</v>
      </c>
      <c r="L19" s="54">
        <v>1200</v>
      </c>
      <c r="M19" s="203"/>
    </row>
    <row r="20" spans="1:13" x14ac:dyDescent="0.2">
      <c r="A20" s="203"/>
      <c r="B20" s="53"/>
      <c r="C20" s="42"/>
      <c r="D20" s="42"/>
      <c r="E20" s="42"/>
      <c r="F20" s="54"/>
      <c r="G20" s="203"/>
      <c r="H20" s="53">
        <v>17</v>
      </c>
      <c r="I20" s="198" t="s">
        <v>276</v>
      </c>
      <c r="J20" s="42"/>
      <c r="K20" s="43">
        <f>L20*0.00419</f>
        <v>3.9805000000000001</v>
      </c>
      <c r="L20" s="54">
        <v>950</v>
      </c>
      <c r="M20" s="203"/>
    </row>
    <row r="21" spans="1:13" ht="13.5" thickBot="1" x14ac:dyDescent="0.25">
      <c r="A21" s="203"/>
      <c r="B21" s="56"/>
      <c r="C21" s="57"/>
      <c r="D21" s="57"/>
      <c r="E21" s="57"/>
      <c r="F21" s="142"/>
      <c r="G21" s="203"/>
      <c r="H21" s="56"/>
      <c r="I21" s="57"/>
      <c r="J21" s="57"/>
      <c r="K21" s="57"/>
      <c r="L21" s="142"/>
      <c r="M21" s="203"/>
    </row>
    <row r="22" spans="1:13" ht="13.5" thickTop="1" x14ac:dyDescent="0.2">
      <c r="A22" s="203"/>
      <c r="B22" s="203"/>
      <c r="C22" s="203"/>
      <c r="D22" s="203"/>
      <c r="E22" s="203"/>
      <c r="F22" s="203"/>
      <c r="G22" s="203"/>
      <c r="H22" s="203"/>
      <c r="I22" s="203"/>
      <c r="J22" s="203"/>
      <c r="K22" s="203"/>
      <c r="L22" s="203"/>
      <c r="M22" s="203"/>
    </row>
    <row r="23" spans="1:13" x14ac:dyDescent="0.2">
      <c r="A23" s="203"/>
      <c r="B23" s="203"/>
      <c r="C23" s="203"/>
      <c r="D23" s="203"/>
      <c r="E23" s="203"/>
      <c r="F23" s="203"/>
      <c r="G23" s="203"/>
      <c r="H23" s="203"/>
      <c r="I23" s="203"/>
      <c r="J23" s="203"/>
      <c r="K23" s="203"/>
      <c r="L23" s="203"/>
      <c r="M23" s="203"/>
    </row>
  </sheetData>
  <sheetProtection sheet="1" objects="1" scenarios="1"/>
  <mergeCells count="6">
    <mergeCell ref="B2:B3"/>
    <mergeCell ref="H2:H3"/>
    <mergeCell ref="I2:I3"/>
    <mergeCell ref="K2:L2"/>
    <mergeCell ref="E2:F2"/>
    <mergeCell ref="C2:C3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3"/>
  <sheetViews>
    <sheetView showGridLines="0" zoomScale="190" zoomScaleNormal="190" workbookViewId="0">
      <selection activeCell="J6" sqref="J6"/>
    </sheetView>
  </sheetViews>
  <sheetFormatPr defaultRowHeight="12.75" x14ac:dyDescent="0.2"/>
  <cols>
    <col min="1" max="1" width="13" customWidth="1"/>
    <col min="2" max="2" width="23.140625" customWidth="1"/>
    <col min="3" max="3" width="12.140625" customWidth="1"/>
    <col min="4" max="4" width="11.7109375" customWidth="1"/>
    <col min="5" max="5" width="12.5703125" bestFit="1" customWidth="1"/>
    <col min="6" max="6" width="12.28515625" customWidth="1"/>
    <col min="7" max="7" width="3.85546875" customWidth="1"/>
    <col min="8" max="8" width="9.140625" hidden="1" customWidth="1"/>
    <col min="9" max="9" width="4.42578125" hidden="1" customWidth="1"/>
  </cols>
  <sheetData>
    <row r="1" spans="1:12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ht="13.5" thickTop="1" x14ac:dyDescent="0.2">
      <c r="A2" s="6"/>
      <c r="B2" s="383" t="s">
        <v>108</v>
      </c>
      <c r="C2" s="385" t="s">
        <v>109</v>
      </c>
      <c r="D2" s="385"/>
      <c r="E2" s="385"/>
      <c r="F2" s="386"/>
      <c r="G2" s="6"/>
      <c r="H2" s="6"/>
      <c r="I2" s="6"/>
      <c r="J2" s="148"/>
      <c r="K2" s="6"/>
      <c r="L2" s="6"/>
    </row>
    <row r="3" spans="1:12" x14ac:dyDescent="0.2">
      <c r="A3" s="6"/>
      <c r="B3" s="384"/>
      <c r="C3" s="131" t="s">
        <v>116</v>
      </c>
      <c r="D3" s="131" t="s">
        <v>130</v>
      </c>
      <c r="E3" s="132" t="s">
        <v>117</v>
      </c>
      <c r="F3" s="133" t="s">
        <v>127</v>
      </c>
      <c r="G3" s="6"/>
      <c r="H3" s="6"/>
      <c r="I3" s="6"/>
      <c r="J3" s="148"/>
      <c r="K3" s="6"/>
      <c r="L3" s="6"/>
    </row>
    <row r="4" spans="1:12" x14ac:dyDescent="0.2">
      <c r="A4" s="6"/>
      <c r="B4" s="117"/>
      <c r="C4" s="119" t="s">
        <v>128</v>
      </c>
      <c r="D4" s="119" t="s">
        <v>131</v>
      </c>
      <c r="E4" s="125" t="s">
        <v>129</v>
      </c>
      <c r="F4" s="126" t="s">
        <v>132</v>
      </c>
      <c r="G4" s="6"/>
      <c r="H4" s="6"/>
      <c r="I4" s="6"/>
      <c r="J4" s="148"/>
      <c r="K4" s="6"/>
      <c r="L4" s="6"/>
    </row>
    <row r="5" spans="1:12" x14ac:dyDescent="0.2">
      <c r="A5" s="6"/>
      <c r="B5" s="117" t="s">
        <v>62</v>
      </c>
      <c r="C5" s="120">
        <v>1.663E-4</v>
      </c>
      <c r="D5" s="121">
        <f>C5/1000*100</f>
        <v>1.6630000000000002E-5</v>
      </c>
      <c r="E5" s="127">
        <f>C5/'Плотность газов'!G4*1000</f>
        <v>0.13299105929018121</v>
      </c>
      <c r="F5" s="128">
        <f>D5/'Плотность газов'!G4</f>
        <v>1.3299105929018123E-5</v>
      </c>
      <c r="G5" s="6"/>
      <c r="J5" s="147" t="s">
        <v>118</v>
      </c>
      <c r="K5" s="6"/>
      <c r="L5" s="6"/>
    </row>
    <row r="6" spans="1:12" x14ac:dyDescent="0.2">
      <c r="A6" s="6"/>
      <c r="B6" s="117" t="s">
        <v>63</v>
      </c>
      <c r="C6" s="120">
        <v>9.2E-5</v>
      </c>
      <c r="D6" s="121">
        <f t="shared" ref="D6:D24" si="0">C6/1000*100</f>
        <v>9.2E-6</v>
      </c>
      <c r="E6" s="127">
        <f>C6/'Плотность газов'!E4*1000</f>
        <v>0.11926367643246046</v>
      </c>
      <c r="F6" s="128">
        <f>D6/'Плотность газов'!E4</f>
        <v>1.1926367643246047E-5</v>
      </c>
      <c r="G6" s="6"/>
      <c r="J6" s="147" t="s">
        <v>118</v>
      </c>
      <c r="K6" s="6"/>
      <c r="L6" s="6"/>
    </row>
    <row r="7" spans="1:12" x14ac:dyDescent="0.2">
      <c r="A7" s="6"/>
      <c r="B7" s="117" t="s">
        <v>65</v>
      </c>
      <c r="C7" s="120">
        <v>2.0900000000000001E-4</v>
      </c>
      <c r="D7" s="121">
        <f t="shared" si="0"/>
        <v>2.09E-5</v>
      </c>
      <c r="E7" s="127">
        <f>C7/'Плотность газов'!K4*1000</f>
        <v>0.17791776623818847</v>
      </c>
      <c r="F7" s="128">
        <f>D7/'Плотность газов'!K4</f>
        <v>1.7791776623818846E-5</v>
      </c>
      <c r="G7" s="6"/>
      <c r="J7" s="147" t="s">
        <v>118</v>
      </c>
      <c r="K7" s="6"/>
      <c r="L7" s="6"/>
    </row>
    <row r="8" spans="1:12" x14ac:dyDescent="0.2">
      <c r="A8" s="6"/>
      <c r="B8" s="117" t="s">
        <v>66</v>
      </c>
      <c r="C8" s="120">
        <v>8.3499999999999997E-5</v>
      </c>
      <c r="D8" s="121">
        <f t="shared" si="0"/>
        <v>8.3499999999999997E-6</v>
      </c>
      <c r="E8" s="127">
        <f>C8/'Плотность газов'!I4*1000</f>
        <v>0.92901646639964386</v>
      </c>
      <c r="F8" s="128">
        <f>D8/'Плотность газов'!I4</f>
        <v>9.2901646639964391E-5</v>
      </c>
      <c r="G8" s="6"/>
      <c r="J8" s="147" t="s">
        <v>118</v>
      </c>
      <c r="K8" s="6"/>
      <c r="L8" s="6"/>
    </row>
    <row r="9" spans="1:12" x14ac:dyDescent="0.2">
      <c r="A9" s="6"/>
      <c r="B9" s="117" t="s">
        <v>67</v>
      </c>
      <c r="C9" s="120">
        <v>1.7100000000000001E-4</v>
      </c>
      <c r="D9" s="121">
        <f t="shared" si="0"/>
        <v>1.7100000000000002E-5</v>
      </c>
      <c r="E9" s="127">
        <f>C9/'Плотность газов'!F4*1000</f>
        <v>0.13227103960396042</v>
      </c>
      <c r="F9" s="128">
        <f>D9/'Плотность газов'!F4</f>
        <v>1.3227103960396041E-5</v>
      </c>
      <c r="G9" s="6"/>
      <c r="J9" s="147" t="s">
        <v>118</v>
      </c>
      <c r="K9" s="6"/>
      <c r="L9" s="6"/>
    </row>
    <row r="10" spans="1:12" x14ac:dyDescent="0.2">
      <c r="A10" s="6"/>
      <c r="B10" s="117" t="s">
        <v>69</v>
      </c>
      <c r="C10" s="120">
        <v>1.918E-4</v>
      </c>
      <c r="D10" s="121">
        <f t="shared" si="0"/>
        <v>1.9180000000000003E-5</v>
      </c>
      <c r="E10" s="127">
        <f>C10/'Плотность газов'!H4*1000</f>
        <v>0.13422443052591063</v>
      </c>
      <c r="F10" s="128">
        <f>D10/'Плотность газов'!H4</f>
        <v>1.3422443052591066E-5</v>
      </c>
      <c r="G10" s="6"/>
      <c r="J10" s="147" t="s">
        <v>118</v>
      </c>
      <c r="K10" s="6"/>
      <c r="L10" s="6"/>
    </row>
    <row r="11" spans="1:12" x14ac:dyDescent="0.2">
      <c r="A11" s="6"/>
      <c r="B11" s="117" t="s">
        <v>70</v>
      </c>
      <c r="C11" s="120">
        <v>1.03E-4</v>
      </c>
      <c r="D11" s="121">
        <f t="shared" si="0"/>
        <v>1.03E-5</v>
      </c>
      <c r="E11" s="127">
        <f>C11/'Плотность газов'!J4*1000</f>
        <v>0.14369419642857142</v>
      </c>
      <c r="F11" s="128">
        <f>D11/'Плотность газов'!J4</f>
        <v>1.4369419642857143E-5</v>
      </c>
      <c r="G11" s="6"/>
      <c r="J11" s="147" t="s">
        <v>118</v>
      </c>
      <c r="K11" s="6"/>
      <c r="L11" s="6"/>
    </row>
    <row r="12" spans="1:12" x14ac:dyDescent="0.2">
      <c r="A12" s="6"/>
      <c r="B12" s="117" t="s">
        <v>71</v>
      </c>
      <c r="C12" s="120">
        <v>1.3799999999999999E-4</v>
      </c>
      <c r="D12" s="121">
        <f t="shared" si="0"/>
        <v>1.38E-5</v>
      </c>
      <c r="E12" s="127">
        <f>C12/'Плотность газов'!D4*1000</f>
        <v>6.9103655483224835E-2</v>
      </c>
      <c r="F12" s="128">
        <f>D12/'Плотность газов'!D4</f>
        <v>6.9103655483224831E-6</v>
      </c>
      <c r="G12" s="6"/>
      <c r="J12" s="147" t="s">
        <v>118</v>
      </c>
      <c r="K12" s="6"/>
      <c r="L12" s="6"/>
    </row>
    <row r="13" spans="1:12" x14ac:dyDescent="0.2">
      <c r="A13" s="6"/>
      <c r="B13" s="117" t="s">
        <v>110</v>
      </c>
      <c r="C13" s="122">
        <v>1.7919999999999998E-2</v>
      </c>
      <c r="D13" s="121">
        <f t="shared" si="0"/>
        <v>1.7919999999999998E-3</v>
      </c>
      <c r="E13" s="127">
        <v>1.7919999999999998E-2</v>
      </c>
      <c r="F13" s="128">
        <f>E13/10000</f>
        <v>1.7919999999999997E-6</v>
      </c>
      <c r="G13" s="6"/>
      <c r="J13" s="147" t="s">
        <v>119</v>
      </c>
      <c r="K13" s="6"/>
      <c r="L13" s="6"/>
    </row>
    <row r="14" spans="1:12" x14ac:dyDescent="0.2">
      <c r="A14" s="6"/>
      <c r="B14" s="117" t="s">
        <v>110</v>
      </c>
      <c r="C14" s="122">
        <v>1.306E-2</v>
      </c>
      <c r="D14" s="121">
        <f t="shared" si="0"/>
        <v>1.3060000000000001E-3</v>
      </c>
      <c r="E14" s="127">
        <v>1.306E-2</v>
      </c>
      <c r="F14" s="128">
        <f t="shared" ref="F14:F24" si="1">E14/10000</f>
        <v>1.3060000000000001E-6</v>
      </c>
      <c r="G14" s="6"/>
      <c r="J14" s="147" t="s">
        <v>120</v>
      </c>
      <c r="K14" s="6"/>
      <c r="L14" s="6"/>
    </row>
    <row r="15" spans="1:12" x14ac:dyDescent="0.2">
      <c r="A15" s="6"/>
      <c r="B15" s="117" t="s">
        <v>110</v>
      </c>
      <c r="C15" s="122">
        <v>1.004E-2</v>
      </c>
      <c r="D15" s="121">
        <f t="shared" si="0"/>
        <v>1.0040000000000001E-3</v>
      </c>
      <c r="E15" s="127">
        <v>1.0059999999999999E-2</v>
      </c>
      <c r="F15" s="128">
        <f t="shared" si="1"/>
        <v>1.006E-6</v>
      </c>
      <c r="G15" s="6"/>
      <c r="J15" s="147" t="s">
        <v>121</v>
      </c>
      <c r="K15" s="6"/>
      <c r="L15" s="6"/>
    </row>
    <row r="16" spans="1:12" x14ac:dyDescent="0.2">
      <c r="A16" s="6"/>
      <c r="B16" s="117" t="s">
        <v>110</v>
      </c>
      <c r="C16" s="122">
        <v>8.0199999999999994E-3</v>
      </c>
      <c r="D16" s="121">
        <f t="shared" si="0"/>
        <v>8.0199999999999998E-4</v>
      </c>
      <c r="E16" s="127">
        <v>8.0499999999999999E-3</v>
      </c>
      <c r="F16" s="128">
        <f t="shared" si="1"/>
        <v>8.0500000000000002E-7</v>
      </c>
      <c r="G16" s="6"/>
      <c r="J16" s="147" t="s">
        <v>122</v>
      </c>
      <c r="K16" s="6"/>
      <c r="L16" s="6"/>
    </row>
    <row r="17" spans="1:12" x14ac:dyDescent="0.2">
      <c r="A17" s="6"/>
      <c r="B17" s="117" t="s">
        <v>110</v>
      </c>
      <c r="C17" s="122">
        <v>5.4900000000000001E-3</v>
      </c>
      <c r="D17" s="121">
        <f t="shared" si="0"/>
        <v>5.4900000000000001E-4</v>
      </c>
      <c r="E17" s="127">
        <v>5.5599999999999998E-3</v>
      </c>
      <c r="F17" s="128">
        <f t="shared" si="1"/>
        <v>5.5599999999999995E-7</v>
      </c>
      <c r="G17" s="6"/>
      <c r="J17" s="147" t="s">
        <v>123</v>
      </c>
      <c r="K17" s="6"/>
      <c r="L17" s="6"/>
    </row>
    <row r="18" spans="1:12" x14ac:dyDescent="0.2">
      <c r="A18" s="6"/>
      <c r="B18" s="117" t="s">
        <v>111</v>
      </c>
      <c r="C18" s="122">
        <v>6.4999999999999997E-3</v>
      </c>
      <c r="D18" s="121">
        <f t="shared" si="0"/>
        <v>6.4999999999999997E-4</v>
      </c>
      <c r="E18" s="127">
        <v>9.2999999999999992E-3</v>
      </c>
      <c r="F18" s="128">
        <f t="shared" si="1"/>
        <v>9.2999999999999988E-7</v>
      </c>
      <c r="G18" s="6"/>
      <c r="J18" s="147" t="s">
        <v>124</v>
      </c>
      <c r="K18" s="6"/>
      <c r="L18" s="6"/>
    </row>
    <row r="19" spans="1:12" x14ac:dyDescent="0.2">
      <c r="A19" s="6"/>
      <c r="B19" s="117" t="s">
        <v>112</v>
      </c>
      <c r="C19" s="122">
        <v>1.1900000000000001E-2</v>
      </c>
      <c r="D19" s="121">
        <f t="shared" si="0"/>
        <v>1.1900000000000001E-3</v>
      </c>
      <c r="E19" s="127">
        <v>1.54E-2</v>
      </c>
      <c r="F19" s="128">
        <f t="shared" si="1"/>
        <v>1.5400000000000001E-6</v>
      </c>
      <c r="G19" s="6"/>
      <c r="J19" s="147" t="s">
        <v>120</v>
      </c>
      <c r="K19" s="6"/>
      <c r="L19" s="6"/>
    </row>
    <row r="20" spans="1:12" x14ac:dyDescent="0.2">
      <c r="A20" s="6"/>
      <c r="B20" s="117" t="s">
        <v>113</v>
      </c>
      <c r="C20" s="122">
        <v>2.1700000000000001E-2</v>
      </c>
      <c r="D20" s="121">
        <f t="shared" si="0"/>
        <v>2.1700000000000001E-3</v>
      </c>
      <c r="E20" s="127">
        <v>2.7E-2</v>
      </c>
      <c r="F20" s="128">
        <f t="shared" si="1"/>
        <v>2.7E-6</v>
      </c>
      <c r="G20" s="6"/>
      <c r="J20" s="147" t="s">
        <v>124</v>
      </c>
      <c r="K20" s="6"/>
      <c r="L20" s="6"/>
    </row>
    <row r="21" spans="1:12" x14ac:dyDescent="0.2">
      <c r="A21" s="6"/>
      <c r="B21" s="117" t="s">
        <v>114</v>
      </c>
      <c r="C21" s="122">
        <v>0.27500000000000002</v>
      </c>
      <c r="D21" s="121">
        <f t="shared" si="0"/>
        <v>2.75E-2</v>
      </c>
      <c r="E21" s="127">
        <v>0.31</v>
      </c>
      <c r="F21" s="128">
        <f t="shared" si="1"/>
        <v>3.1000000000000001E-5</v>
      </c>
      <c r="G21" s="6"/>
      <c r="J21" s="147" t="s">
        <v>120</v>
      </c>
      <c r="K21" s="6"/>
      <c r="L21" s="6"/>
    </row>
    <row r="22" spans="1:12" x14ac:dyDescent="0.2">
      <c r="A22" s="6"/>
      <c r="B22" s="117" t="s">
        <v>126</v>
      </c>
      <c r="C22" s="122">
        <v>0.42699999999999999</v>
      </c>
      <c r="D22" s="121">
        <f t="shared" si="0"/>
        <v>4.2699999999999995E-2</v>
      </c>
      <c r="E22" s="127">
        <v>0.48</v>
      </c>
      <c r="F22" s="128">
        <f t="shared" si="1"/>
        <v>4.8000000000000001E-5</v>
      </c>
      <c r="G22" s="6"/>
      <c r="J22" s="147" t="s">
        <v>120</v>
      </c>
      <c r="K22" s="6"/>
      <c r="L22" s="6"/>
    </row>
    <row r="23" spans="1:12" x14ac:dyDescent="0.2">
      <c r="A23" s="6"/>
      <c r="B23" s="117" t="s">
        <v>115</v>
      </c>
      <c r="C23" s="122">
        <v>0.86</v>
      </c>
      <c r="D23" s="121">
        <f t="shared" si="0"/>
        <v>8.5999999999999993E-2</v>
      </c>
      <c r="E23" s="127">
        <v>0.96</v>
      </c>
      <c r="F23" s="128">
        <f t="shared" si="1"/>
        <v>9.6000000000000002E-5</v>
      </c>
      <c r="G23" s="6"/>
      <c r="J23" s="147" t="s">
        <v>120</v>
      </c>
      <c r="K23" s="6"/>
      <c r="L23" s="6"/>
    </row>
    <row r="24" spans="1:12" ht="13.5" thickBot="1" x14ac:dyDescent="0.25">
      <c r="A24" s="6"/>
      <c r="B24" s="118" t="s">
        <v>125</v>
      </c>
      <c r="C24" s="123">
        <v>47</v>
      </c>
      <c r="D24" s="124">
        <f t="shared" si="0"/>
        <v>4.7</v>
      </c>
      <c r="E24" s="129">
        <v>52.2</v>
      </c>
      <c r="F24" s="130">
        <f t="shared" si="1"/>
        <v>5.2200000000000007E-3</v>
      </c>
      <c r="G24" s="6"/>
      <c r="J24" s="147" t="s">
        <v>123</v>
      </c>
      <c r="K24" s="6"/>
      <c r="L24" s="6"/>
    </row>
    <row r="25" spans="1:12" ht="13.5" thickTop="1" x14ac:dyDescent="0.2">
      <c r="A25" s="6"/>
      <c r="B25" s="6"/>
      <c r="C25" s="6"/>
      <c r="D25" s="6"/>
      <c r="E25" s="6"/>
      <c r="F25" s="6"/>
      <c r="G25" s="6"/>
      <c r="J25" s="6"/>
      <c r="K25" s="6"/>
      <c r="L25" s="6"/>
    </row>
    <row r="26" spans="1:12" x14ac:dyDescent="0.2">
      <c r="A26" s="6"/>
      <c r="B26" s="6"/>
      <c r="C26" s="6"/>
      <c r="D26" s="6"/>
      <c r="E26" s="6"/>
      <c r="F26" s="6"/>
      <c r="G26" s="6"/>
      <c r="J26" s="6"/>
      <c r="K26" s="6"/>
      <c r="L26" s="6"/>
    </row>
    <row r="27" spans="1:12" x14ac:dyDescent="0.2">
      <c r="A27" s="6"/>
      <c r="B27" s="6"/>
      <c r="C27" s="6"/>
      <c r="D27" s="6"/>
      <c r="E27" s="6"/>
      <c r="F27" s="6"/>
      <c r="G27" s="6"/>
      <c r="J27" s="6"/>
      <c r="K27" s="6"/>
      <c r="L27" s="6"/>
    </row>
    <row r="28" spans="1:12" x14ac:dyDescent="0.2">
      <c r="A28" s="6"/>
      <c r="B28" s="6"/>
      <c r="C28" s="6"/>
      <c r="D28" s="6"/>
      <c r="E28" s="6"/>
      <c r="F28" s="6"/>
      <c r="G28" s="6"/>
      <c r="J28" s="6"/>
      <c r="K28" s="6"/>
      <c r="L28" s="6"/>
    </row>
    <row r="29" spans="1:12" x14ac:dyDescent="0.2">
      <c r="A29" s="6"/>
      <c r="B29" s="6"/>
      <c r="C29" s="6"/>
      <c r="D29" s="6"/>
      <c r="E29" s="6"/>
      <c r="F29" s="6"/>
      <c r="G29" s="6"/>
      <c r="J29" s="6"/>
      <c r="K29" s="6"/>
      <c r="L29" s="6"/>
    </row>
    <row r="30" spans="1:12" x14ac:dyDescent="0.2">
      <c r="A30" s="6"/>
      <c r="B30" s="6"/>
      <c r="C30" s="6"/>
      <c r="D30" s="6"/>
      <c r="E30" s="6"/>
      <c r="F30" s="6"/>
      <c r="G30" s="6"/>
      <c r="J30" s="6"/>
      <c r="K30" s="6"/>
      <c r="L30" s="6"/>
    </row>
    <row r="31" spans="1:12" x14ac:dyDescent="0.2">
      <c r="A31" s="6"/>
      <c r="B31" s="6"/>
      <c r="C31" s="6"/>
      <c r="D31" s="6"/>
      <c r="E31" s="6"/>
      <c r="F31" s="6"/>
      <c r="G31" s="6"/>
      <c r="J31" s="6"/>
      <c r="K31" s="6"/>
      <c r="L31" s="6"/>
    </row>
    <row r="32" spans="1:12" x14ac:dyDescent="0.2">
      <c r="A32" s="6"/>
      <c r="B32" s="6"/>
      <c r="C32" s="6"/>
      <c r="D32" s="6"/>
      <c r="E32" s="6"/>
      <c r="F32" s="6"/>
      <c r="G32" s="6"/>
      <c r="J32" s="6"/>
      <c r="K32" s="6"/>
      <c r="L32" s="6"/>
    </row>
    <row r="33" spans="1:12" x14ac:dyDescent="0.2">
      <c r="A33" s="6"/>
      <c r="B33" s="6"/>
      <c r="C33" s="6"/>
      <c r="D33" s="6"/>
      <c r="E33" s="6"/>
      <c r="F33" s="6"/>
      <c r="G33" s="6"/>
      <c r="J33" s="6"/>
      <c r="K33" s="6"/>
      <c r="L33" s="6"/>
    </row>
    <row r="34" spans="1:12" x14ac:dyDescent="0.2">
      <c r="A34" s="6"/>
      <c r="B34" s="6"/>
      <c r="C34" s="6"/>
      <c r="D34" s="6"/>
      <c r="E34" s="6"/>
      <c r="F34" s="6"/>
      <c r="G34" s="6"/>
      <c r="J34" s="6"/>
      <c r="K34" s="6"/>
      <c r="L34" s="6"/>
    </row>
    <row r="35" spans="1:12" x14ac:dyDescent="0.2">
      <c r="A35" s="6"/>
      <c r="B35" s="6"/>
      <c r="C35" s="6"/>
      <c r="D35" s="6"/>
      <c r="E35" s="6"/>
      <c r="F35" s="6"/>
      <c r="G35" s="6"/>
      <c r="J35" s="6"/>
      <c r="K35" s="6"/>
      <c r="L35" s="6"/>
    </row>
    <row r="36" spans="1:12" x14ac:dyDescent="0.2">
      <c r="A36" s="6"/>
      <c r="B36" s="6"/>
      <c r="C36" s="6"/>
      <c r="D36" s="6"/>
      <c r="E36" s="6"/>
      <c r="F36" s="6"/>
      <c r="G36" s="6"/>
      <c r="J36" s="6"/>
      <c r="K36" s="6"/>
      <c r="L36" s="6"/>
    </row>
    <row r="37" spans="1:12" x14ac:dyDescent="0.2">
      <c r="A37" s="6"/>
      <c r="B37" s="6"/>
      <c r="C37" s="6"/>
      <c r="D37" s="6"/>
      <c r="E37" s="6"/>
      <c r="F37" s="6"/>
      <c r="G37" s="6"/>
      <c r="J37" s="6"/>
      <c r="K37" s="6"/>
      <c r="L37" s="6"/>
    </row>
    <row r="38" spans="1:12" x14ac:dyDescent="0.2">
      <c r="A38" s="6"/>
      <c r="B38" s="6"/>
      <c r="C38" s="6"/>
      <c r="D38" s="6"/>
      <c r="E38" s="6"/>
      <c r="F38" s="6"/>
      <c r="G38" s="6"/>
      <c r="J38" s="6"/>
      <c r="K38" s="6"/>
      <c r="L38" s="6"/>
    </row>
    <row r="39" spans="1:12" x14ac:dyDescent="0.2">
      <c r="A39" s="6"/>
      <c r="B39" s="6"/>
      <c r="C39" s="6"/>
      <c r="D39" s="6"/>
      <c r="E39" s="6"/>
      <c r="F39" s="6"/>
      <c r="G39" s="6"/>
      <c r="J39" s="6"/>
      <c r="K39" s="6"/>
      <c r="L39" s="6"/>
    </row>
    <row r="40" spans="1:12" x14ac:dyDescent="0.2">
      <c r="A40" s="6"/>
      <c r="B40" s="6"/>
      <c r="C40" s="6"/>
      <c r="D40" s="6"/>
      <c r="E40" s="6"/>
      <c r="F40" s="6"/>
      <c r="G40" s="6"/>
      <c r="J40" s="6"/>
      <c r="K40" s="6"/>
      <c r="L40" s="6"/>
    </row>
    <row r="41" spans="1:12" x14ac:dyDescent="0.2">
      <c r="A41" s="6"/>
      <c r="B41" s="6"/>
      <c r="C41" s="6"/>
      <c r="D41" s="6"/>
      <c r="E41" s="6"/>
      <c r="F41" s="6"/>
      <c r="G41" s="6"/>
      <c r="J41" s="6"/>
      <c r="K41" s="6"/>
      <c r="L41" s="6"/>
    </row>
    <row r="42" spans="1:12" x14ac:dyDescent="0.2">
      <c r="A42" s="6"/>
      <c r="B42" s="6"/>
      <c r="C42" s="6"/>
      <c r="D42" s="6"/>
      <c r="E42" s="6"/>
      <c r="F42" s="6"/>
      <c r="G42" s="6"/>
      <c r="J42" s="6"/>
      <c r="K42" s="6"/>
      <c r="L42" s="6"/>
    </row>
    <row r="43" spans="1:12" x14ac:dyDescent="0.2">
      <c r="A43" s="6"/>
      <c r="B43" s="6"/>
      <c r="C43" s="6"/>
      <c r="D43" s="6"/>
      <c r="E43" s="6"/>
      <c r="F43" s="6"/>
      <c r="G43" s="6"/>
      <c r="J43" s="6"/>
      <c r="K43" s="6"/>
      <c r="L43" s="6"/>
    </row>
    <row r="44" spans="1:12" x14ac:dyDescent="0.2">
      <c r="A44" s="6"/>
      <c r="B44" s="6"/>
      <c r="C44" s="6"/>
      <c r="D44" s="6"/>
      <c r="E44" s="6"/>
      <c r="F44" s="6"/>
      <c r="G44" s="6"/>
      <c r="J44" s="6"/>
      <c r="K44" s="6"/>
      <c r="L44" s="6"/>
    </row>
    <row r="45" spans="1:12" x14ac:dyDescent="0.2">
      <c r="A45" s="6"/>
      <c r="B45" s="6"/>
      <c r="C45" s="6"/>
      <c r="D45" s="6"/>
      <c r="E45" s="6"/>
      <c r="F45" s="6"/>
      <c r="G45" s="6"/>
      <c r="J45" s="6"/>
      <c r="K45" s="6"/>
      <c r="L45" s="6"/>
    </row>
    <row r="46" spans="1:12" x14ac:dyDescent="0.2">
      <c r="A46" s="6"/>
      <c r="B46" s="6"/>
      <c r="C46" s="6"/>
      <c r="D46" s="6"/>
      <c r="E46" s="6"/>
      <c r="F46" s="6"/>
      <c r="G46" s="6"/>
      <c r="J46" s="6"/>
      <c r="K46" s="6"/>
      <c r="L46" s="6"/>
    </row>
    <row r="47" spans="1:12" x14ac:dyDescent="0.2">
      <c r="A47" s="6"/>
      <c r="B47" s="6"/>
      <c r="C47" s="6"/>
      <c r="D47" s="6"/>
      <c r="E47" s="6"/>
      <c r="F47" s="6"/>
      <c r="G47" s="6"/>
      <c r="J47" s="6"/>
      <c r="K47" s="6"/>
      <c r="L47" s="6"/>
    </row>
    <row r="48" spans="1:12" x14ac:dyDescent="0.2">
      <c r="A48" s="6"/>
      <c r="B48" s="6"/>
      <c r="C48" s="6"/>
      <c r="D48" s="6"/>
      <c r="E48" s="6"/>
      <c r="F48" s="6"/>
      <c r="G48" s="6"/>
      <c r="J48" s="6"/>
      <c r="K48" s="6"/>
      <c r="L48" s="6"/>
    </row>
    <row r="49" spans="1:12" x14ac:dyDescent="0.2">
      <c r="A49" s="6"/>
      <c r="B49" s="6"/>
      <c r="C49" s="6"/>
      <c r="D49" s="6"/>
      <c r="E49" s="6"/>
      <c r="F49" s="6"/>
      <c r="G49" s="6"/>
      <c r="J49" s="6"/>
      <c r="K49" s="6"/>
      <c r="L49" s="6"/>
    </row>
    <row r="50" spans="1:12" x14ac:dyDescent="0.2">
      <c r="A50" s="6"/>
      <c r="B50" s="6"/>
      <c r="C50" s="6"/>
      <c r="D50" s="6"/>
      <c r="E50" s="6"/>
      <c r="F50" s="6"/>
      <c r="G50" s="6"/>
      <c r="J50" s="6"/>
      <c r="K50" s="6"/>
      <c r="L50" s="6"/>
    </row>
    <row r="51" spans="1:12" x14ac:dyDescent="0.2">
      <c r="A51" s="6"/>
      <c r="B51" s="6"/>
      <c r="C51" s="6"/>
      <c r="D51" s="6"/>
      <c r="E51" s="6"/>
      <c r="F51" s="6"/>
      <c r="G51" s="6"/>
      <c r="J51" s="6"/>
      <c r="K51" s="6"/>
      <c r="L51" s="6"/>
    </row>
    <row r="52" spans="1:12" x14ac:dyDescent="0.2">
      <c r="A52" s="6"/>
      <c r="B52" s="6"/>
      <c r="C52" s="6"/>
      <c r="D52" s="6"/>
      <c r="E52" s="6"/>
      <c r="F52" s="6"/>
      <c r="G52" s="6"/>
      <c r="J52" s="6"/>
      <c r="K52" s="6"/>
      <c r="L52" s="6"/>
    </row>
    <row r="53" spans="1:12" x14ac:dyDescent="0.2">
      <c r="A53" s="6"/>
      <c r="B53" s="6"/>
      <c r="C53" s="6"/>
      <c r="D53" s="6"/>
      <c r="E53" s="6"/>
      <c r="F53" s="6"/>
      <c r="J53" s="6"/>
      <c r="K53" s="6"/>
      <c r="L53" s="6"/>
    </row>
  </sheetData>
  <sheetProtection password="C855" sheet="1" objects="1" scenarios="1"/>
  <mergeCells count="2">
    <mergeCell ref="B2:B3"/>
    <mergeCell ref="C2:F2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showGridLines="0" zoomScale="175" zoomScaleNormal="175" workbookViewId="0">
      <selection activeCell="K2" sqref="K2"/>
    </sheetView>
  </sheetViews>
  <sheetFormatPr defaultRowHeight="12.75" x14ac:dyDescent="0.2"/>
  <cols>
    <col min="1" max="1" width="10.42578125" customWidth="1"/>
    <col min="2" max="2" width="4.5703125" customWidth="1"/>
    <col min="3" max="3" width="18.28515625" customWidth="1"/>
    <col min="4" max="4" width="12.28515625" customWidth="1"/>
    <col min="5" max="5" width="10" customWidth="1"/>
    <col min="6" max="6" width="10.42578125" customWidth="1"/>
  </cols>
  <sheetData>
    <row r="1" spans="1:11" ht="13.5" thickBot="1" x14ac:dyDescent="0.25">
      <c r="A1" s="194"/>
      <c r="B1" s="194"/>
      <c r="C1" s="194"/>
      <c r="D1" s="194"/>
      <c r="E1" s="194"/>
      <c r="F1" s="194"/>
      <c r="G1" s="194"/>
      <c r="H1" s="194"/>
      <c r="I1" s="194"/>
      <c r="J1" s="194"/>
      <c r="K1" s="194"/>
    </row>
    <row r="2" spans="1:11" ht="38.25" customHeight="1" thickTop="1" x14ac:dyDescent="0.2">
      <c r="A2" s="194"/>
      <c r="B2" s="391" t="s">
        <v>216</v>
      </c>
      <c r="C2" s="389" t="s">
        <v>108</v>
      </c>
      <c r="D2" s="200" t="s">
        <v>217</v>
      </c>
      <c r="E2" s="387" t="s">
        <v>218</v>
      </c>
      <c r="F2" s="388"/>
      <c r="G2" s="195"/>
      <c r="H2" s="195"/>
      <c r="I2" s="195"/>
      <c r="J2" s="194"/>
      <c r="K2" s="194"/>
    </row>
    <row r="3" spans="1:11" x14ac:dyDescent="0.2">
      <c r="A3" s="194"/>
      <c r="B3" s="392"/>
      <c r="C3" s="390"/>
      <c r="D3" s="196" t="s">
        <v>4</v>
      </c>
      <c r="E3" s="196" t="s">
        <v>220</v>
      </c>
      <c r="F3" s="197" t="s">
        <v>8</v>
      </c>
      <c r="G3" s="194"/>
      <c r="H3" s="194"/>
      <c r="I3" s="194"/>
      <c r="J3" s="194"/>
      <c r="K3" s="194"/>
    </row>
    <row r="4" spans="1:11" x14ac:dyDescent="0.2">
      <c r="A4" s="194"/>
      <c r="B4" s="53">
        <v>1</v>
      </c>
      <c r="C4" s="198" t="s">
        <v>134</v>
      </c>
      <c r="D4" s="42">
        <f>933-273</f>
        <v>660</v>
      </c>
      <c r="E4" s="42">
        <v>390</v>
      </c>
      <c r="F4" s="199">
        <f>E4/4.19</f>
        <v>93.078758949880665</v>
      </c>
      <c r="G4" s="194"/>
      <c r="H4" s="194"/>
      <c r="I4" s="194"/>
      <c r="J4" s="194"/>
      <c r="K4" s="194"/>
    </row>
    <row r="5" spans="1:11" x14ac:dyDescent="0.2">
      <c r="A5" s="194"/>
      <c r="B5" s="53">
        <f>B4+1</f>
        <v>2</v>
      </c>
      <c r="C5" s="198" t="s">
        <v>139</v>
      </c>
      <c r="D5" s="42">
        <f>1803-273</f>
        <v>1530</v>
      </c>
      <c r="E5" s="42"/>
      <c r="F5" s="199"/>
      <c r="G5" s="194"/>
      <c r="H5" s="194"/>
      <c r="I5" s="194"/>
      <c r="J5" s="194"/>
      <c r="K5" s="194"/>
    </row>
    <row r="6" spans="1:11" x14ac:dyDescent="0.2">
      <c r="A6" s="194"/>
      <c r="B6" s="53">
        <f t="shared" ref="B6:B11" si="0">B5+1</f>
        <v>3</v>
      </c>
      <c r="C6" s="198" t="s">
        <v>219</v>
      </c>
      <c r="D6" s="42">
        <f>1173-273</f>
        <v>900</v>
      </c>
      <c r="E6" s="42"/>
      <c r="F6" s="199"/>
      <c r="G6" s="194"/>
      <c r="H6" s="194"/>
      <c r="I6" s="194"/>
      <c r="J6" s="194"/>
      <c r="K6" s="194"/>
    </row>
    <row r="7" spans="1:11" x14ac:dyDescent="0.2">
      <c r="A7" s="194"/>
      <c r="B7" s="53">
        <f t="shared" si="0"/>
        <v>4</v>
      </c>
      <c r="C7" s="198" t="s">
        <v>152</v>
      </c>
      <c r="D7" s="42">
        <v>0</v>
      </c>
      <c r="E7" s="42">
        <v>335</v>
      </c>
      <c r="F7" s="199">
        <f>E7/4.19</f>
        <v>79.952267303102616</v>
      </c>
      <c r="G7" s="194"/>
      <c r="H7" s="194"/>
      <c r="I7" s="194"/>
      <c r="J7" s="194"/>
      <c r="K7" s="194"/>
    </row>
    <row r="8" spans="1:11" x14ac:dyDescent="0.2">
      <c r="A8" s="194"/>
      <c r="B8" s="53">
        <f t="shared" si="0"/>
        <v>5</v>
      </c>
      <c r="C8" s="198" t="s">
        <v>135</v>
      </c>
      <c r="D8" s="42">
        <f>1356-273</f>
        <v>1083</v>
      </c>
      <c r="E8" s="42">
        <v>180</v>
      </c>
      <c r="F8" s="199">
        <f>E8/4.19</f>
        <v>42.959427207637226</v>
      </c>
      <c r="G8" s="194"/>
      <c r="H8" s="194"/>
      <c r="I8" s="194"/>
      <c r="J8" s="194"/>
      <c r="K8" s="194"/>
    </row>
    <row r="9" spans="1:11" x14ac:dyDescent="0.2">
      <c r="A9" s="194"/>
      <c r="B9" s="53">
        <f t="shared" si="0"/>
        <v>6</v>
      </c>
      <c r="C9" s="198" t="s">
        <v>158</v>
      </c>
      <c r="D9" s="42">
        <f>505-273</f>
        <v>232</v>
      </c>
      <c r="E9" s="42">
        <v>58</v>
      </c>
      <c r="F9" s="199">
        <f>E9/4.19</f>
        <v>13.842482100238662</v>
      </c>
      <c r="G9" s="194"/>
      <c r="H9" s="194"/>
      <c r="I9" s="194"/>
      <c r="J9" s="194"/>
      <c r="K9" s="194"/>
    </row>
    <row r="10" spans="1:11" x14ac:dyDescent="0.2">
      <c r="A10" s="194"/>
      <c r="B10" s="53">
        <f t="shared" si="0"/>
        <v>7</v>
      </c>
      <c r="C10" s="198" t="s">
        <v>137</v>
      </c>
      <c r="D10" s="42">
        <f>600-273</f>
        <v>327</v>
      </c>
      <c r="E10" s="42">
        <v>25</v>
      </c>
      <c r="F10" s="199">
        <f>E10/4.19</f>
        <v>5.9665871121718368</v>
      </c>
      <c r="G10" s="194"/>
      <c r="H10" s="194"/>
      <c r="I10" s="194"/>
      <c r="J10" s="194"/>
      <c r="K10" s="194"/>
    </row>
    <row r="11" spans="1:11" x14ac:dyDescent="0.2">
      <c r="A11" s="194"/>
      <c r="B11" s="53">
        <f t="shared" si="0"/>
        <v>8</v>
      </c>
      <c r="C11" s="198" t="s">
        <v>138</v>
      </c>
      <c r="D11" s="42">
        <f>1233-273</f>
        <v>960</v>
      </c>
      <c r="E11" s="42">
        <v>101</v>
      </c>
      <c r="F11" s="199">
        <f>E11/4.19</f>
        <v>24.105011933174222</v>
      </c>
      <c r="G11" s="194"/>
      <c r="H11" s="194"/>
      <c r="I11" s="194"/>
      <c r="J11" s="194"/>
      <c r="K11" s="194"/>
    </row>
    <row r="12" spans="1:11" x14ac:dyDescent="0.2">
      <c r="A12" s="194"/>
      <c r="B12" s="53"/>
      <c r="C12" s="42"/>
      <c r="D12" s="42"/>
      <c r="E12" s="42"/>
      <c r="F12" s="54"/>
      <c r="G12" s="194"/>
      <c r="H12" s="194"/>
      <c r="I12" s="194"/>
      <c r="J12" s="194"/>
      <c r="K12" s="194"/>
    </row>
    <row r="13" spans="1:11" x14ac:dyDescent="0.2">
      <c r="A13" s="194"/>
      <c r="B13" s="53"/>
      <c r="C13" s="42"/>
      <c r="D13" s="42"/>
      <c r="E13" s="42"/>
      <c r="F13" s="54"/>
      <c r="G13" s="194"/>
      <c r="H13" s="194"/>
      <c r="I13" s="194"/>
      <c r="J13" s="194"/>
      <c r="K13" s="194"/>
    </row>
    <row r="14" spans="1:11" x14ac:dyDescent="0.2">
      <c r="A14" s="194"/>
      <c r="B14" s="53"/>
      <c r="C14" s="42"/>
      <c r="D14" s="42"/>
      <c r="E14" s="42"/>
      <c r="F14" s="54"/>
      <c r="G14" s="194"/>
      <c r="H14" s="194"/>
      <c r="I14" s="194"/>
      <c r="J14" s="194"/>
      <c r="K14" s="194"/>
    </row>
    <row r="15" spans="1:11" x14ac:dyDescent="0.2">
      <c r="A15" s="194"/>
      <c r="B15" s="53"/>
      <c r="C15" s="42"/>
      <c r="D15" s="42"/>
      <c r="E15" s="42"/>
      <c r="F15" s="54"/>
      <c r="G15" s="194"/>
      <c r="H15" s="194"/>
      <c r="I15" s="194"/>
      <c r="J15" s="194"/>
      <c r="K15" s="194"/>
    </row>
    <row r="16" spans="1:11" x14ac:dyDescent="0.2">
      <c r="A16" s="194"/>
      <c r="B16" s="53"/>
      <c r="C16" s="42"/>
      <c r="D16" s="42"/>
      <c r="E16" s="42"/>
      <c r="F16" s="54"/>
      <c r="G16" s="194"/>
      <c r="H16" s="194"/>
      <c r="I16" s="194"/>
      <c r="J16" s="194"/>
      <c r="K16" s="194"/>
    </row>
    <row r="17" spans="1:11" x14ac:dyDescent="0.2">
      <c r="A17" s="194"/>
      <c r="B17" s="53"/>
      <c r="C17" s="42"/>
      <c r="D17" s="42"/>
      <c r="E17" s="42"/>
      <c r="F17" s="54"/>
      <c r="G17" s="194"/>
      <c r="H17" s="194"/>
      <c r="I17" s="194"/>
      <c r="J17" s="194"/>
      <c r="K17" s="194"/>
    </row>
    <row r="18" spans="1:11" x14ac:dyDescent="0.2">
      <c r="A18" s="194"/>
      <c r="B18" s="53"/>
      <c r="C18" s="42"/>
      <c r="D18" s="42"/>
      <c r="E18" s="42"/>
      <c r="F18" s="54"/>
      <c r="G18" s="194"/>
      <c r="H18" s="194"/>
      <c r="I18" s="194"/>
      <c r="J18" s="194"/>
      <c r="K18" s="194"/>
    </row>
    <row r="19" spans="1:11" x14ac:dyDescent="0.2">
      <c r="A19" s="194"/>
      <c r="B19" s="53"/>
      <c r="C19" s="42"/>
      <c r="D19" s="42"/>
      <c r="E19" s="42"/>
      <c r="F19" s="54"/>
      <c r="G19" s="194"/>
      <c r="H19" s="194"/>
      <c r="I19" s="194"/>
      <c r="J19" s="194"/>
      <c r="K19" s="194"/>
    </row>
    <row r="20" spans="1:11" x14ac:dyDescent="0.2">
      <c r="A20" s="194"/>
      <c r="B20" s="53"/>
      <c r="C20" s="42"/>
      <c r="D20" s="42"/>
      <c r="E20" s="42"/>
      <c r="F20" s="54"/>
      <c r="G20" s="194"/>
      <c r="H20" s="194"/>
      <c r="I20" s="194"/>
      <c r="J20" s="194"/>
      <c r="K20" s="194"/>
    </row>
    <row r="21" spans="1:11" ht="13.5" thickBot="1" x14ac:dyDescent="0.25">
      <c r="A21" s="194"/>
      <c r="B21" s="56"/>
      <c r="C21" s="57"/>
      <c r="D21" s="57"/>
      <c r="E21" s="57"/>
      <c r="F21" s="142"/>
      <c r="G21" s="194"/>
      <c r="H21" s="194"/>
      <c r="I21" s="194"/>
      <c r="J21" s="194"/>
      <c r="K21" s="194"/>
    </row>
    <row r="22" spans="1:11" ht="13.5" thickTop="1" x14ac:dyDescent="0.2">
      <c r="A22" s="194"/>
      <c r="B22" s="194"/>
      <c r="C22" s="194"/>
      <c r="D22" s="194"/>
      <c r="E22" s="194"/>
      <c r="F22" s="194"/>
      <c r="G22" s="194"/>
      <c r="H22" s="194"/>
      <c r="I22" s="194"/>
      <c r="J22" s="194"/>
      <c r="K22" s="194"/>
    </row>
    <row r="23" spans="1:11" x14ac:dyDescent="0.2">
      <c r="A23" s="194"/>
      <c r="B23" s="194"/>
      <c r="C23" s="194"/>
      <c r="D23" s="194"/>
      <c r="E23" s="194"/>
      <c r="F23" s="194"/>
      <c r="G23" s="194"/>
      <c r="H23" s="194"/>
      <c r="I23" s="194"/>
      <c r="J23" s="194"/>
      <c r="K23" s="194"/>
    </row>
  </sheetData>
  <sheetProtection password="C855" sheet="1" objects="1" scenarios="1"/>
  <mergeCells count="3">
    <mergeCell ref="E2:F2"/>
    <mergeCell ref="C2:C3"/>
    <mergeCell ref="B2:B3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1"/>
  <sheetViews>
    <sheetView showGridLines="0" zoomScale="130" workbookViewId="0">
      <selection activeCell="D37" sqref="D37"/>
    </sheetView>
  </sheetViews>
  <sheetFormatPr defaultRowHeight="12.75" x14ac:dyDescent="0.2"/>
  <cols>
    <col min="1" max="1" width="3.7109375" customWidth="1"/>
    <col min="2" max="2" width="22.5703125" customWidth="1"/>
    <col min="3" max="3" width="12.7109375" customWidth="1"/>
    <col min="4" max="5" width="11.28515625" customWidth="1"/>
    <col min="6" max="6" width="12.28515625" customWidth="1"/>
    <col min="7" max="7" width="12.42578125" customWidth="1"/>
  </cols>
  <sheetData>
    <row r="1" spans="1:10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</row>
    <row r="2" spans="1:10" ht="13.5" thickTop="1" x14ac:dyDescent="0.2">
      <c r="A2" s="6"/>
      <c r="B2" s="362" t="s">
        <v>153</v>
      </c>
      <c r="C2" s="151" t="s">
        <v>5</v>
      </c>
      <c r="D2" s="417" t="s">
        <v>161</v>
      </c>
      <c r="E2" s="417"/>
      <c r="F2" s="418"/>
      <c r="G2" s="419"/>
      <c r="H2" s="6"/>
      <c r="I2" s="6"/>
      <c r="J2" s="6"/>
    </row>
    <row r="3" spans="1:10" x14ac:dyDescent="0.2">
      <c r="A3" s="6"/>
      <c r="B3" s="363"/>
      <c r="C3" s="42" t="s">
        <v>6</v>
      </c>
      <c r="D3" s="162" t="s">
        <v>162</v>
      </c>
      <c r="E3" s="162" t="s">
        <v>156</v>
      </c>
      <c r="F3" s="184" t="s">
        <v>163</v>
      </c>
      <c r="G3" s="185" t="s">
        <v>164</v>
      </c>
      <c r="H3" s="6"/>
      <c r="I3" s="6"/>
      <c r="J3" s="6"/>
    </row>
    <row r="4" spans="1:10" x14ac:dyDescent="0.2">
      <c r="A4" s="6"/>
      <c r="B4" s="189" t="s">
        <v>199</v>
      </c>
      <c r="C4" s="190">
        <v>125</v>
      </c>
      <c r="D4" s="162">
        <v>0.84</v>
      </c>
      <c r="E4" s="163">
        <f t="shared" ref="E4:E35" si="0">D4/4.19</f>
        <v>0.20047732696897372</v>
      </c>
      <c r="F4" s="184">
        <v>7.0000000000000007E-2</v>
      </c>
      <c r="G4" s="186">
        <f t="shared" ref="G4:G35" si="1">F4/1.16</f>
        <v>6.0344827586206906E-2</v>
      </c>
      <c r="H4" s="6"/>
      <c r="I4" s="6"/>
      <c r="J4" s="6"/>
    </row>
    <row r="5" spans="1:10" x14ac:dyDescent="0.2">
      <c r="A5" s="6"/>
      <c r="B5" s="189" t="s">
        <v>199</v>
      </c>
      <c r="C5" s="190">
        <v>75</v>
      </c>
      <c r="D5" s="162">
        <v>0.84</v>
      </c>
      <c r="E5" s="163">
        <f t="shared" si="0"/>
        <v>0.20047732696897372</v>
      </c>
      <c r="F5" s="184">
        <v>6.4000000000000001E-2</v>
      </c>
      <c r="G5" s="186">
        <f t="shared" si="1"/>
        <v>5.5172413793103454E-2</v>
      </c>
      <c r="H5" s="6"/>
      <c r="I5" s="6"/>
      <c r="J5" s="6"/>
    </row>
    <row r="6" spans="1:10" x14ac:dyDescent="0.2">
      <c r="A6" s="6"/>
      <c r="B6" s="189" t="s">
        <v>199</v>
      </c>
      <c r="C6" s="190">
        <v>50</v>
      </c>
      <c r="D6" s="162">
        <v>0.84</v>
      </c>
      <c r="E6" s="163">
        <f t="shared" si="0"/>
        <v>0.20047732696897372</v>
      </c>
      <c r="F6" s="184">
        <v>0.06</v>
      </c>
      <c r="G6" s="186">
        <f t="shared" si="1"/>
        <v>5.1724137931034482E-2</v>
      </c>
      <c r="H6" s="6"/>
      <c r="I6" s="6"/>
      <c r="J6" s="6"/>
    </row>
    <row r="7" spans="1:10" x14ac:dyDescent="0.2">
      <c r="A7" s="6"/>
      <c r="B7" s="155" t="s">
        <v>200</v>
      </c>
      <c r="C7" s="156">
        <v>350</v>
      </c>
      <c r="D7" s="162">
        <v>0.84</v>
      </c>
      <c r="E7" s="163">
        <f t="shared" si="0"/>
        <v>0.20047732696897372</v>
      </c>
      <c r="F7" s="184">
        <v>0.11</v>
      </c>
      <c r="G7" s="186">
        <f t="shared" si="1"/>
        <v>9.4827586206896561E-2</v>
      </c>
      <c r="H7" s="6"/>
      <c r="I7" s="6"/>
      <c r="J7" s="6"/>
    </row>
    <row r="8" spans="1:10" x14ac:dyDescent="0.2">
      <c r="A8" s="6"/>
      <c r="B8" s="155" t="s">
        <v>200</v>
      </c>
      <c r="C8" s="156">
        <v>300</v>
      </c>
      <c r="D8" s="162">
        <v>0.84</v>
      </c>
      <c r="E8" s="163">
        <f t="shared" si="0"/>
        <v>0.20047732696897372</v>
      </c>
      <c r="F8" s="184">
        <v>0.09</v>
      </c>
      <c r="G8" s="186">
        <f t="shared" si="1"/>
        <v>7.7586206896551727E-2</v>
      </c>
      <c r="H8" s="6"/>
      <c r="I8" s="6"/>
      <c r="J8" s="6"/>
    </row>
    <row r="9" spans="1:10" x14ac:dyDescent="0.2">
      <c r="A9" s="6"/>
      <c r="B9" s="155" t="s">
        <v>200</v>
      </c>
      <c r="C9" s="156">
        <v>200</v>
      </c>
      <c r="D9" s="162">
        <v>0.84</v>
      </c>
      <c r="E9" s="163">
        <f t="shared" si="0"/>
        <v>0.20047732696897372</v>
      </c>
      <c r="F9" s="184">
        <v>0.08</v>
      </c>
      <c r="G9" s="186">
        <f t="shared" si="1"/>
        <v>6.8965517241379323E-2</v>
      </c>
      <c r="H9" s="6"/>
      <c r="I9" s="6"/>
      <c r="J9" s="6"/>
    </row>
    <row r="10" spans="1:10" x14ac:dyDescent="0.2">
      <c r="A10" s="6"/>
      <c r="B10" s="155" t="s">
        <v>200</v>
      </c>
      <c r="C10" s="156">
        <v>100</v>
      </c>
      <c r="D10" s="162">
        <v>0.84</v>
      </c>
      <c r="E10" s="163">
        <f t="shared" si="0"/>
        <v>0.20047732696897372</v>
      </c>
      <c r="F10" s="184">
        <v>7.0000000000000007E-2</v>
      </c>
      <c r="G10" s="186">
        <f t="shared" si="1"/>
        <v>6.0344827586206906E-2</v>
      </c>
      <c r="H10" s="6"/>
      <c r="I10" s="6"/>
      <c r="J10" s="6"/>
    </row>
    <row r="11" spans="1:10" x14ac:dyDescent="0.2">
      <c r="A11" s="6"/>
      <c r="B11" s="155" t="s">
        <v>200</v>
      </c>
      <c r="C11" s="156">
        <v>50</v>
      </c>
      <c r="D11" s="162">
        <v>0.84</v>
      </c>
      <c r="E11" s="163">
        <f t="shared" si="0"/>
        <v>0.20047732696897372</v>
      </c>
      <c r="F11" s="184">
        <v>0.03</v>
      </c>
      <c r="G11" s="186">
        <f t="shared" si="1"/>
        <v>2.5862068965517241E-2</v>
      </c>
      <c r="H11" s="6"/>
      <c r="I11" s="6"/>
      <c r="J11" s="6"/>
    </row>
    <row r="12" spans="1:10" x14ac:dyDescent="0.2">
      <c r="A12" s="6"/>
      <c r="B12" s="157" t="s">
        <v>201</v>
      </c>
      <c r="C12" s="158">
        <v>50</v>
      </c>
      <c r="D12" s="162">
        <v>0.84</v>
      </c>
      <c r="E12" s="163">
        <f t="shared" si="0"/>
        <v>0.20047732696897372</v>
      </c>
      <c r="F12" s="184">
        <v>6.4000000000000001E-2</v>
      </c>
      <c r="G12" s="186">
        <f t="shared" si="1"/>
        <v>5.5172413793103454E-2</v>
      </c>
      <c r="H12" s="6"/>
      <c r="I12" s="6"/>
      <c r="J12" s="6"/>
    </row>
    <row r="13" spans="1:10" x14ac:dyDescent="0.2">
      <c r="A13" s="6"/>
      <c r="B13" s="157" t="s">
        <v>201</v>
      </c>
      <c r="C13" s="158">
        <v>150</v>
      </c>
      <c r="D13" s="162">
        <v>0.84</v>
      </c>
      <c r="E13" s="163">
        <f t="shared" si="0"/>
        <v>0.20047732696897372</v>
      </c>
      <c r="F13" s="184">
        <v>7.0000000000000007E-2</v>
      </c>
      <c r="G13" s="186">
        <f t="shared" si="1"/>
        <v>6.0344827586206906E-2</v>
      </c>
      <c r="H13" s="6"/>
      <c r="I13" s="6"/>
      <c r="J13" s="6"/>
    </row>
    <row r="14" spans="1:10" x14ac:dyDescent="0.2">
      <c r="A14" s="6"/>
      <c r="B14" s="149" t="s">
        <v>202</v>
      </c>
      <c r="C14" s="150">
        <v>150</v>
      </c>
      <c r="D14" s="162">
        <v>1.34</v>
      </c>
      <c r="E14" s="163">
        <f t="shared" si="0"/>
        <v>0.31980906921241048</v>
      </c>
      <c r="F14" s="184">
        <v>0.06</v>
      </c>
      <c r="G14" s="186">
        <f t="shared" si="1"/>
        <v>5.1724137931034482E-2</v>
      </c>
      <c r="H14" s="6"/>
      <c r="I14" s="6"/>
      <c r="J14" s="6"/>
    </row>
    <row r="15" spans="1:10" x14ac:dyDescent="0.2">
      <c r="A15" s="6"/>
      <c r="B15" s="149" t="s">
        <v>202</v>
      </c>
      <c r="C15" s="150">
        <v>100</v>
      </c>
      <c r="D15" s="162">
        <v>1.34</v>
      </c>
      <c r="E15" s="163">
        <f t="shared" si="0"/>
        <v>0.31980906921241048</v>
      </c>
      <c r="F15" s="184">
        <v>5.1999999999999998E-2</v>
      </c>
      <c r="G15" s="186">
        <f t="shared" si="1"/>
        <v>4.4827586206896551E-2</v>
      </c>
      <c r="H15" s="6"/>
      <c r="I15" s="6"/>
      <c r="J15" s="6"/>
    </row>
    <row r="16" spans="1:10" x14ac:dyDescent="0.2">
      <c r="A16" s="6"/>
      <c r="B16" s="149" t="s">
        <v>202</v>
      </c>
      <c r="C16" s="150">
        <v>40</v>
      </c>
      <c r="D16" s="162">
        <v>1.34</v>
      </c>
      <c r="E16" s="163">
        <f t="shared" si="0"/>
        <v>0.31980906921241048</v>
      </c>
      <c r="F16" s="184">
        <v>0.05</v>
      </c>
      <c r="G16" s="186">
        <f t="shared" si="1"/>
        <v>4.3103448275862072E-2</v>
      </c>
      <c r="H16" s="6"/>
      <c r="I16" s="6"/>
      <c r="J16" s="6"/>
    </row>
    <row r="17" spans="1:10" x14ac:dyDescent="0.2">
      <c r="A17" s="6"/>
      <c r="B17" s="149" t="s">
        <v>203</v>
      </c>
      <c r="C17" s="150">
        <v>150</v>
      </c>
      <c r="D17" s="162">
        <v>1.26</v>
      </c>
      <c r="E17" s="163">
        <f t="shared" si="0"/>
        <v>0.30071599045346059</v>
      </c>
      <c r="F17" s="184">
        <v>6.4000000000000001E-2</v>
      </c>
      <c r="G17" s="186">
        <f t="shared" si="1"/>
        <v>5.5172413793103454E-2</v>
      </c>
      <c r="H17" s="6"/>
      <c r="I17" s="6"/>
      <c r="J17" s="6"/>
    </row>
    <row r="18" spans="1:10" x14ac:dyDescent="0.2">
      <c r="A18" s="6"/>
      <c r="B18" s="149" t="s">
        <v>203</v>
      </c>
      <c r="C18" s="150" t="s">
        <v>204</v>
      </c>
      <c r="D18" s="162">
        <v>1.26</v>
      </c>
      <c r="E18" s="163">
        <f t="shared" si="0"/>
        <v>0.30071599045346059</v>
      </c>
      <c r="F18" s="184">
        <v>5.1999999999999998E-2</v>
      </c>
      <c r="G18" s="186">
        <f t="shared" si="1"/>
        <v>4.4827586206896551E-2</v>
      </c>
      <c r="H18" s="6"/>
      <c r="I18" s="6"/>
      <c r="J18" s="6"/>
    </row>
    <row r="19" spans="1:10" x14ac:dyDescent="0.2">
      <c r="A19" s="6"/>
      <c r="B19" s="149" t="s">
        <v>395</v>
      </c>
      <c r="C19" s="150">
        <v>80</v>
      </c>
      <c r="D19" s="162">
        <v>1.47</v>
      </c>
      <c r="E19" s="163">
        <f t="shared" si="0"/>
        <v>0.35083532219570401</v>
      </c>
      <c r="F19" s="184">
        <v>0.05</v>
      </c>
      <c r="G19" s="186">
        <f t="shared" si="1"/>
        <v>4.3103448275862072E-2</v>
      </c>
      <c r="H19" s="6"/>
      <c r="I19" s="6"/>
      <c r="J19" s="6"/>
    </row>
    <row r="20" spans="1:10" x14ac:dyDescent="0.2">
      <c r="A20" s="6"/>
      <c r="B20" s="149" t="s">
        <v>395</v>
      </c>
      <c r="C20" s="150">
        <v>60</v>
      </c>
      <c r="D20" s="162">
        <v>1.47</v>
      </c>
      <c r="E20" s="163">
        <f t="shared" si="0"/>
        <v>0.35083532219570401</v>
      </c>
      <c r="F20" s="184">
        <v>4.1000000000000002E-2</v>
      </c>
      <c r="G20" s="186">
        <f t="shared" si="1"/>
        <v>3.5344827586206898E-2</v>
      </c>
      <c r="H20" s="6"/>
      <c r="I20" s="6"/>
      <c r="J20" s="6"/>
    </row>
    <row r="21" spans="1:10" x14ac:dyDescent="0.2">
      <c r="A21" s="6"/>
      <c r="B21" s="149" t="s">
        <v>395</v>
      </c>
      <c r="C21" s="150">
        <v>40</v>
      </c>
      <c r="D21" s="162">
        <v>1.47</v>
      </c>
      <c r="E21" s="163">
        <f t="shared" si="0"/>
        <v>0.35083532219570401</v>
      </c>
      <c r="F21" s="184">
        <v>0.04</v>
      </c>
      <c r="G21" s="186">
        <f t="shared" si="1"/>
        <v>3.4482758620689662E-2</v>
      </c>
      <c r="H21" s="6"/>
      <c r="I21" s="6"/>
      <c r="J21" s="6"/>
    </row>
    <row r="22" spans="1:10" x14ac:dyDescent="0.2">
      <c r="A22" s="6"/>
      <c r="B22" s="149" t="s">
        <v>205</v>
      </c>
      <c r="C22" s="150">
        <v>200</v>
      </c>
      <c r="D22" s="162">
        <v>1.05</v>
      </c>
      <c r="E22" s="163">
        <f t="shared" si="0"/>
        <v>0.25059665871121717</v>
      </c>
      <c r="F22" s="184">
        <v>0.06</v>
      </c>
      <c r="G22" s="186">
        <f t="shared" si="1"/>
        <v>5.1724137931034482E-2</v>
      </c>
      <c r="H22" s="6"/>
      <c r="I22" s="6"/>
      <c r="J22" s="6"/>
    </row>
    <row r="23" spans="1:10" x14ac:dyDescent="0.2">
      <c r="A23" s="6"/>
      <c r="B23" s="149" t="s">
        <v>205</v>
      </c>
      <c r="C23" s="150">
        <v>100</v>
      </c>
      <c r="D23" s="162">
        <v>1.05</v>
      </c>
      <c r="E23" s="163">
        <f t="shared" si="0"/>
        <v>0.25059665871121717</v>
      </c>
      <c r="F23" s="184">
        <v>0.05</v>
      </c>
      <c r="G23" s="186">
        <f t="shared" si="1"/>
        <v>4.3103448275862072E-2</v>
      </c>
      <c r="H23" s="6"/>
      <c r="I23" s="6"/>
      <c r="J23" s="6"/>
    </row>
    <row r="24" spans="1:10" x14ac:dyDescent="0.2">
      <c r="A24" s="6"/>
      <c r="B24" s="152" t="s">
        <v>206</v>
      </c>
      <c r="C24" s="153">
        <v>800</v>
      </c>
      <c r="D24" s="162">
        <v>0.84</v>
      </c>
      <c r="E24" s="163">
        <f t="shared" si="0"/>
        <v>0.20047732696897372</v>
      </c>
      <c r="F24" s="184">
        <v>0.23</v>
      </c>
      <c r="G24" s="186">
        <f t="shared" si="1"/>
        <v>0.19827586206896555</v>
      </c>
      <c r="H24" s="6"/>
      <c r="I24" s="6"/>
      <c r="J24" s="6"/>
    </row>
    <row r="25" spans="1:10" x14ac:dyDescent="0.2">
      <c r="A25" s="6"/>
      <c r="B25" s="152" t="s">
        <v>206</v>
      </c>
      <c r="C25" s="153">
        <v>200</v>
      </c>
      <c r="D25" s="162">
        <v>0.84</v>
      </c>
      <c r="E25" s="163">
        <f t="shared" si="0"/>
        <v>0.20047732696897372</v>
      </c>
      <c r="F25" s="184">
        <v>0.12</v>
      </c>
      <c r="G25" s="186">
        <f t="shared" si="1"/>
        <v>0.10344827586206896</v>
      </c>
      <c r="H25" s="6"/>
      <c r="I25" s="6"/>
      <c r="J25" s="6"/>
    </row>
    <row r="26" spans="1:10" x14ac:dyDescent="0.2">
      <c r="A26" s="6"/>
      <c r="B26" s="152" t="s">
        <v>207</v>
      </c>
      <c r="C26" s="153">
        <v>800</v>
      </c>
      <c r="D26" s="162">
        <v>0.84</v>
      </c>
      <c r="E26" s="163">
        <f t="shared" si="0"/>
        <v>0.20047732696897372</v>
      </c>
      <c r="F26" s="184">
        <v>0.26</v>
      </c>
      <c r="G26" s="186">
        <f t="shared" si="1"/>
        <v>0.22413793103448279</v>
      </c>
      <c r="H26" s="6"/>
      <c r="I26" s="6"/>
      <c r="J26" s="6"/>
    </row>
    <row r="27" spans="1:10" x14ac:dyDescent="0.2">
      <c r="A27" s="6"/>
      <c r="B27" s="152" t="s">
        <v>207</v>
      </c>
      <c r="C27" s="153">
        <v>400</v>
      </c>
      <c r="D27" s="162">
        <v>0.84</v>
      </c>
      <c r="E27" s="163">
        <f t="shared" si="0"/>
        <v>0.20047732696897372</v>
      </c>
      <c r="F27" s="184">
        <v>0.16</v>
      </c>
      <c r="G27" s="186">
        <f t="shared" si="1"/>
        <v>0.13793103448275865</v>
      </c>
      <c r="H27" s="6"/>
      <c r="I27" s="6"/>
      <c r="J27" s="6"/>
    </row>
    <row r="28" spans="1:10" x14ac:dyDescent="0.2">
      <c r="A28" s="6"/>
      <c r="B28" s="152" t="s">
        <v>208</v>
      </c>
      <c r="C28" s="153">
        <v>1800</v>
      </c>
      <c r="D28" s="162">
        <v>0.84</v>
      </c>
      <c r="E28" s="163">
        <f t="shared" si="0"/>
        <v>0.20047732696897372</v>
      </c>
      <c r="F28" s="184">
        <v>0.57999999999999996</v>
      </c>
      <c r="G28" s="186">
        <f t="shared" si="1"/>
        <v>0.5</v>
      </c>
      <c r="H28" s="6"/>
      <c r="I28" s="6"/>
      <c r="J28" s="6"/>
    </row>
    <row r="29" spans="1:10" x14ac:dyDescent="0.2">
      <c r="A29" s="6"/>
      <c r="B29" s="53" t="s">
        <v>209</v>
      </c>
      <c r="C29" s="42">
        <v>1800</v>
      </c>
      <c r="D29" s="162">
        <v>0.84</v>
      </c>
      <c r="E29" s="163">
        <f t="shared" si="0"/>
        <v>0.20047732696897372</v>
      </c>
      <c r="F29" s="184">
        <v>0.52</v>
      </c>
      <c r="G29" s="186">
        <f t="shared" si="1"/>
        <v>0.44827586206896558</v>
      </c>
      <c r="H29" s="6"/>
      <c r="I29" s="6"/>
      <c r="J29" s="6"/>
    </row>
    <row r="30" spans="1:10" x14ac:dyDescent="0.2">
      <c r="A30" s="6"/>
      <c r="B30" s="191" t="s">
        <v>210</v>
      </c>
      <c r="C30" s="192">
        <v>1400</v>
      </c>
      <c r="D30" s="162">
        <v>1.68</v>
      </c>
      <c r="E30" s="163">
        <f t="shared" si="0"/>
        <v>0.40095465393794744</v>
      </c>
      <c r="F30" s="184">
        <v>0.27</v>
      </c>
      <c r="G30" s="186">
        <f t="shared" si="1"/>
        <v>0.23275862068965519</v>
      </c>
      <c r="H30" s="6"/>
      <c r="I30" s="6"/>
      <c r="J30" s="6"/>
    </row>
    <row r="31" spans="1:10" x14ac:dyDescent="0.2">
      <c r="A31" s="6"/>
      <c r="B31" s="191" t="s">
        <v>210</v>
      </c>
      <c r="C31" s="192">
        <v>1000</v>
      </c>
      <c r="D31" s="162">
        <v>1.38</v>
      </c>
      <c r="E31" s="163">
        <f t="shared" si="0"/>
        <v>0.3293556085918854</v>
      </c>
      <c r="F31" s="184">
        <v>0.17</v>
      </c>
      <c r="G31" s="186">
        <f t="shared" si="1"/>
        <v>0.14655172413793105</v>
      </c>
      <c r="H31" s="6"/>
      <c r="I31" s="6"/>
      <c r="J31" s="6"/>
    </row>
    <row r="32" spans="1:10" x14ac:dyDescent="0.2">
      <c r="A32" s="6"/>
      <c r="B32" s="191" t="s">
        <v>211</v>
      </c>
      <c r="C32" s="192">
        <v>2100</v>
      </c>
      <c r="D32" s="162">
        <v>1.68</v>
      </c>
      <c r="E32" s="163">
        <f t="shared" si="0"/>
        <v>0.40095465393794744</v>
      </c>
      <c r="F32" s="184">
        <v>1.05</v>
      </c>
      <c r="G32" s="186">
        <f t="shared" si="1"/>
        <v>0.90517241379310354</v>
      </c>
      <c r="H32" s="6"/>
      <c r="I32" s="6"/>
      <c r="J32" s="6"/>
    </row>
    <row r="33" spans="1:10" x14ac:dyDescent="0.2">
      <c r="A33" s="6"/>
      <c r="B33" s="53" t="s">
        <v>212</v>
      </c>
      <c r="C33" s="42">
        <v>600</v>
      </c>
      <c r="D33" s="162">
        <v>1.68</v>
      </c>
      <c r="E33" s="163">
        <f t="shared" si="0"/>
        <v>0.40095465393794744</v>
      </c>
      <c r="F33" s="184">
        <v>0.17</v>
      </c>
      <c r="G33" s="186">
        <f t="shared" si="1"/>
        <v>0.14655172413793105</v>
      </c>
      <c r="H33" s="6"/>
      <c r="I33" s="6"/>
      <c r="J33" s="6"/>
    </row>
    <row r="34" spans="1:10" x14ac:dyDescent="0.2">
      <c r="A34" s="6"/>
      <c r="B34" s="53" t="s">
        <v>213</v>
      </c>
      <c r="C34" s="42">
        <v>1600</v>
      </c>
      <c r="D34" s="162">
        <v>1.47</v>
      </c>
      <c r="E34" s="163">
        <f t="shared" si="0"/>
        <v>0.35083532219570401</v>
      </c>
      <c r="F34" s="184">
        <v>1.33</v>
      </c>
      <c r="G34" s="186">
        <f t="shared" si="1"/>
        <v>1.1465517241379313</v>
      </c>
      <c r="H34" s="6"/>
      <c r="I34" s="6"/>
      <c r="J34" s="6"/>
    </row>
    <row r="35" spans="1:10" ht="13.5" thickBot="1" x14ac:dyDescent="0.25">
      <c r="A35" s="6"/>
      <c r="B35" s="56" t="s">
        <v>214</v>
      </c>
      <c r="C35" s="57">
        <v>2500</v>
      </c>
      <c r="D35" s="182">
        <v>0.84</v>
      </c>
      <c r="E35" s="183">
        <f t="shared" si="0"/>
        <v>0.20047732696897372</v>
      </c>
      <c r="F35" s="187">
        <v>0.76</v>
      </c>
      <c r="G35" s="188">
        <f t="shared" si="1"/>
        <v>0.65517241379310354</v>
      </c>
      <c r="H35" s="6"/>
      <c r="I35" s="6"/>
      <c r="J35" s="6"/>
    </row>
    <row r="36" spans="1:10" ht="39.75" customHeight="1" thickTop="1" x14ac:dyDescent="0.35">
      <c r="A36" s="420" t="s">
        <v>559</v>
      </c>
      <c r="B36" s="421"/>
      <c r="C36" s="421"/>
      <c r="D36" s="421"/>
      <c r="E36" s="421"/>
      <c r="F36" s="421"/>
      <c r="G36" s="421"/>
      <c r="H36" s="421"/>
      <c r="I36" s="421"/>
      <c r="J36" s="6"/>
    </row>
    <row r="37" spans="1:10" x14ac:dyDescent="0.2">
      <c r="A37" s="424" t="s">
        <v>560</v>
      </c>
      <c r="B37" s="424"/>
      <c r="C37" s="424"/>
      <c r="D37" s="286" t="s">
        <v>561</v>
      </c>
      <c r="E37" s="286" t="s">
        <v>562</v>
      </c>
      <c r="F37" s="286" t="s">
        <v>563</v>
      </c>
      <c r="G37" s="286" t="s">
        <v>564</v>
      </c>
      <c r="H37" s="286" t="s">
        <v>565</v>
      </c>
      <c r="I37" s="286" t="s">
        <v>566</v>
      </c>
      <c r="J37" s="286" t="s">
        <v>567</v>
      </c>
    </row>
    <row r="38" spans="1:10" ht="21.75" x14ac:dyDescent="0.2">
      <c r="A38" s="398" t="s">
        <v>568</v>
      </c>
      <c r="B38" s="399"/>
      <c r="C38" s="400"/>
      <c r="D38" s="287" t="s">
        <v>569</v>
      </c>
      <c r="E38" s="288" t="s">
        <v>570</v>
      </c>
      <c r="F38" s="287">
        <v>25</v>
      </c>
      <c r="G38" s="287">
        <v>30</v>
      </c>
      <c r="H38" s="287">
        <v>33</v>
      </c>
      <c r="I38" s="287">
        <v>35</v>
      </c>
      <c r="J38" s="287">
        <v>45</v>
      </c>
    </row>
    <row r="39" spans="1:10" x14ac:dyDescent="0.2">
      <c r="A39" s="401"/>
      <c r="B39" s="402"/>
      <c r="C39" s="403"/>
      <c r="D39" s="287" t="s">
        <v>569</v>
      </c>
      <c r="E39" s="288" t="s">
        <v>571</v>
      </c>
      <c r="F39" s="287">
        <v>25</v>
      </c>
      <c r="G39" s="287">
        <v>30</v>
      </c>
      <c r="H39" s="287">
        <v>33</v>
      </c>
      <c r="I39" s="287">
        <v>35</v>
      </c>
      <c r="J39" s="287">
        <v>45</v>
      </c>
    </row>
    <row r="40" spans="1:10" x14ac:dyDescent="0.2">
      <c r="A40" s="404"/>
      <c r="B40" s="405"/>
      <c r="C40" s="406"/>
      <c r="D40" s="288"/>
      <c r="E40" s="288"/>
      <c r="F40" s="287"/>
      <c r="G40" s="287"/>
      <c r="H40" s="287"/>
      <c r="I40" s="287"/>
      <c r="J40" s="287"/>
    </row>
    <row r="41" spans="1:10" ht="21.75" x14ac:dyDescent="0.2">
      <c r="A41" s="407" t="s">
        <v>572</v>
      </c>
      <c r="B41" s="411"/>
      <c r="C41" s="408"/>
      <c r="D41" s="287" t="s">
        <v>163</v>
      </c>
      <c r="E41" s="288" t="s">
        <v>573</v>
      </c>
      <c r="F41" s="287">
        <v>2.9000000000000001E-2</v>
      </c>
      <c r="G41" s="287">
        <v>2.9000000000000001E-2</v>
      </c>
      <c r="H41" s="287">
        <v>2.9000000000000001E-2</v>
      </c>
      <c r="I41" s="287">
        <v>0.03</v>
      </c>
      <c r="J41" s="287">
        <v>0.03</v>
      </c>
    </row>
    <row r="42" spans="1:10" ht="12.75" customHeight="1" x14ac:dyDescent="0.2">
      <c r="A42" s="415"/>
      <c r="B42" s="397" t="s">
        <v>574</v>
      </c>
      <c r="C42" s="397"/>
      <c r="D42" s="397"/>
      <c r="E42" s="397"/>
      <c r="F42" s="397"/>
      <c r="G42" s="397"/>
      <c r="H42" s="397"/>
      <c r="I42" s="397"/>
      <c r="J42" s="397"/>
    </row>
    <row r="43" spans="1:10" ht="14.25" hidden="1" customHeight="1" x14ac:dyDescent="0.2">
      <c r="A43" s="415"/>
      <c r="B43" s="397"/>
      <c r="C43" s="397"/>
      <c r="D43" s="397"/>
      <c r="E43" s="397"/>
      <c r="F43" s="397"/>
      <c r="G43" s="397"/>
      <c r="H43" s="397"/>
      <c r="I43" s="397"/>
      <c r="J43" s="397"/>
    </row>
    <row r="44" spans="1:10" ht="6" customHeight="1" x14ac:dyDescent="0.2">
      <c r="A44" s="415"/>
      <c r="B44" s="397"/>
      <c r="C44" s="397"/>
      <c r="D44" s="397"/>
      <c r="E44" s="397"/>
      <c r="F44" s="397"/>
      <c r="G44" s="397"/>
      <c r="H44" s="397"/>
      <c r="I44" s="397"/>
      <c r="J44" s="397"/>
    </row>
    <row r="45" spans="1:10" ht="12.75" hidden="1" customHeight="1" x14ac:dyDescent="0.2">
      <c r="A45" s="415"/>
      <c r="B45" s="397"/>
      <c r="C45" s="397"/>
      <c r="D45" s="397"/>
      <c r="E45" s="397"/>
      <c r="F45" s="397"/>
      <c r="G45" s="397"/>
      <c r="H45" s="397"/>
      <c r="I45" s="397"/>
      <c r="J45" s="397"/>
    </row>
    <row r="46" spans="1:10" ht="14.25" customHeight="1" x14ac:dyDescent="0.2">
      <c r="A46" s="415"/>
      <c r="B46" s="395" t="s">
        <v>429</v>
      </c>
      <c r="C46" s="396"/>
      <c r="D46" s="287" t="s">
        <v>163</v>
      </c>
      <c r="E46" s="398" t="s">
        <v>573</v>
      </c>
      <c r="F46" s="287">
        <v>3.1E-2</v>
      </c>
      <c r="G46" s="287">
        <v>3.1E-2</v>
      </c>
      <c r="H46" s="287">
        <v>3.1E-2</v>
      </c>
      <c r="I46" s="287">
        <v>3.1E-2</v>
      </c>
      <c r="J46" s="287">
        <v>3.1E-2</v>
      </c>
    </row>
    <row r="47" spans="1:10" x14ac:dyDescent="0.2">
      <c r="A47" s="415"/>
      <c r="B47" s="395" t="s">
        <v>430</v>
      </c>
      <c r="C47" s="396"/>
      <c r="D47" s="288"/>
      <c r="E47" s="401"/>
      <c r="F47" s="287">
        <v>3.1E-2</v>
      </c>
      <c r="G47" s="287">
        <v>3.1E-2</v>
      </c>
      <c r="H47" s="287">
        <v>3.1E-2</v>
      </c>
      <c r="I47" s="287">
        <v>3.1E-2</v>
      </c>
      <c r="J47" s="287">
        <v>3.1E-2</v>
      </c>
    </row>
    <row r="48" spans="1:10" x14ac:dyDescent="0.2">
      <c r="A48" s="288"/>
      <c r="B48" s="422"/>
      <c r="C48" s="423"/>
      <c r="D48" s="289" t="s">
        <v>575</v>
      </c>
      <c r="E48" s="404"/>
      <c r="F48" s="290">
        <f>F47/1.16</f>
        <v>2.6724137931034484E-2</v>
      </c>
      <c r="G48" s="290">
        <f>G47/1.16</f>
        <v>2.6724137931034484E-2</v>
      </c>
      <c r="H48" s="290">
        <f>H47/1.16</f>
        <v>2.6724137931034484E-2</v>
      </c>
      <c r="I48" s="290">
        <f>I47/1.16</f>
        <v>2.6724137931034484E-2</v>
      </c>
      <c r="J48" s="290">
        <f>J47/1.16</f>
        <v>2.6724137931034484E-2</v>
      </c>
    </row>
    <row r="49" spans="1:10" x14ac:dyDescent="0.2">
      <c r="A49" s="415"/>
      <c r="B49" s="398" t="s">
        <v>576</v>
      </c>
      <c r="C49" s="399"/>
      <c r="D49" s="399"/>
      <c r="E49" s="399"/>
      <c r="F49" s="399"/>
      <c r="G49" s="399"/>
      <c r="H49" s="399"/>
      <c r="I49" s="399"/>
      <c r="J49" s="400"/>
    </row>
    <row r="50" spans="1:10" ht="19.5" customHeight="1" x14ac:dyDescent="0.2">
      <c r="A50" s="415"/>
      <c r="B50" s="401"/>
      <c r="C50" s="402"/>
      <c r="D50" s="402"/>
      <c r="E50" s="402"/>
      <c r="F50" s="402"/>
      <c r="G50" s="402"/>
      <c r="H50" s="402"/>
      <c r="I50" s="402"/>
      <c r="J50" s="403"/>
    </row>
    <row r="51" spans="1:10" ht="12.75" hidden="1" customHeight="1" x14ac:dyDescent="0.2">
      <c r="A51" s="415"/>
      <c r="B51" s="404"/>
      <c r="C51" s="405"/>
      <c r="D51" s="402"/>
      <c r="E51" s="405"/>
      <c r="F51" s="405"/>
      <c r="G51" s="405"/>
      <c r="H51" s="405"/>
      <c r="I51" s="405"/>
      <c r="J51" s="406"/>
    </row>
    <row r="52" spans="1:10" hidden="1" x14ac:dyDescent="0.2">
      <c r="A52" s="415"/>
      <c r="B52" s="397" t="s">
        <v>577</v>
      </c>
      <c r="C52" s="407"/>
      <c r="D52" s="397" t="s">
        <v>578</v>
      </c>
      <c r="E52" s="291"/>
      <c r="F52" s="287" t="s">
        <v>579</v>
      </c>
      <c r="G52" s="287" t="s">
        <v>579</v>
      </c>
      <c r="H52" s="287" t="s">
        <v>579</v>
      </c>
      <c r="I52" s="287" t="s">
        <v>579</v>
      </c>
      <c r="J52" s="287" t="s">
        <v>579</v>
      </c>
    </row>
    <row r="53" spans="1:10" x14ac:dyDescent="0.2">
      <c r="A53" s="415"/>
      <c r="B53" s="397" t="s">
        <v>580</v>
      </c>
      <c r="C53" s="407"/>
      <c r="D53" s="397"/>
      <c r="E53" s="291"/>
      <c r="F53" s="287" t="s">
        <v>581</v>
      </c>
      <c r="G53" s="287" t="s">
        <v>581</v>
      </c>
      <c r="H53" s="287" t="s">
        <v>581</v>
      </c>
      <c r="I53" s="287" t="s">
        <v>581</v>
      </c>
      <c r="J53" s="287" t="s">
        <v>581</v>
      </c>
    </row>
    <row r="54" spans="1:10" ht="21.75" x14ac:dyDescent="0.2">
      <c r="A54" s="288"/>
      <c r="B54" s="409" t="s">
        <v>582</v>
      </c>
      <c r="C54" s="410"/>
      <c r="D54" s="292" t="s">
        <v>583</v>
      </c>
      <c r="E54" s="288" t="s">
        <v>584</v>
      </c>
      <c r="F54" s="287" t="s">
        <v>585</v>
      </c>
      <c r="G54" s="287" t="s">
        <v>586</v>
      </c>
      <c r="H54" s="287" t="s">
        <v>586</v>
      </c>
      <c r="I54" s="287" t="s">
        <v>587</v>
      </c>
      <c r="J54" s="287" t="s">
        <v>587</v>
      </c>
    </row>
    <row r="55" spans="1:10" ht="21.75" x14ac:dyDescent="0.2">
      <c r="A55" s="288"/>
      <c r="B55" s="409" t="s">
        <v>588</v>
      </c>
      <c r="C55" s="410"/>
      <c r="D55" s="287" t="s">
        <v>589</v>
      </c>
      <c r="E55" s="288" t="s">
        <v>570</v>
      </c>
      <c r="F55" s="287">
        <v>0.13</v>
      </c>
      <c r="G55" s="287">
        <v>0.13</v>
      </c>
      <c r="H55" s="287">
        <v>0.13</v>
      </c>
      <c r="I55" s="287">
        <v>7.0000000000000007E-2</v>
      </c>
      <c r="J55" s="287">
        <v>7.0000000000000007E-2</v>
      </c>
    </row>
    <row r="56" spans="1:10" ht="42.75" customHeight="1" x14ac:dyDescent="0.2">
      <c r="A56" s="288"/>
      <c r="B56" s="409" t="s">
        <v>590</v>
      </c>
      <c r="C56" s="410"/>
      <c r="D56" s="287" t="s">
        <v>591</v>
      </c>
      <c r="E56" s="288" t="s">
        <v>592</v>
      </c>
      <c r="F56" s="397" t="s">
        <v>593</v>
      </c>
      <c r="G56" s="397"/>
      <c r="H56" s="397"/>
      <c r="I56" s="397"/>
      <c r="J56" s="397"/>
    </row>
    <row r="57" spans="1:10" x14ac:dyDescent="0.2">
      <c r="A57" s="288"/>
      <c r="B57" s="409" t="s">
        <v>594</v>
      </c>
      <c r="C57" s="410"/>
      <c r="D57" s="287" t="s">
        <v>591</v>
      </c>
      <c r="E57" s="288" t="s">
        <v>595</v>
      </c>
      <c r="F57" s="397">
        <v>0.3</v>
      </c>
      <c r="G57" s="397"/>
      <c r="H57" s="397"/>
      <c r="I57" s="397"/>
      <c r="J57" s="397"/>
    </row>
    <row r="58" spans="1:10" ht="21.75" x14ac:dyDescent="0.2">
      <c r="A58" s="415"/>
      <c r="B58" s="409" t="s">
        <v>596</v>
      </c>
      <c r="C58" s="410"/>
      <c r="D58" s="287" t="s">
        <v>1</v>
      </c>
      <c r="E58" s="288" t="s">
        <v>570</v>
      </c>
      <c r="F58" s="287">
        <v>0.2</v>
      </c>
      <c r="G58" s="287">
        <v>0.25</v>
      </c>
      <c r="H58" s="287">
        <v>0.25</v>
      </c>
      <c r="I58" s="287">
        <v>0.5</v>
      </c>
      <c r="J58" s="287">
        <v>0.7</v>
      </c>
    </row>
    <row r="59" spans="1:10" ht="35.25" customHeight="1" x14ac:dyDescent="0.2">
      <c r="A59" s="415"/>
      <c r="B59" s="409"/>
      <c r="C59" s="410"/>
      <c r="D59" s="287"/>
      <c r="E59" s="288" t="s">
        <v>597</v>
      </c>
      <c r="F59" s="287">
        <v>0.2</v>
      </c>
      <c r="G59" s="287">
        <v>0.25</v>
      </c>
      <c r="H59" s="287">
        <v>0.25</v>
      </c>
      <c r="I59" s="287">
        <v>0.5</v>
      </c>
      <c r="J59" s="287">
        <v>0.7</v>
      </c>
    </row>
    <row r="60" spans="1:10" x14ac:dyDescent="0.2">
      <c r="A60" s="415"/>
      <c r="B60" s="409"/>
      <c r="C60" s="410"/>
      <c r="D60" s="287" t="s">
        <v>591</v>
      </c>
      <c r="E60" s="288"/>
      <c r="F60" s="287"/>
      <c r="G60" s="287"/>
      <c r="H60" s="287"/>
      <c r="I60" s="287"/>
      <c r="J60" s="287"/>
    </row>
    <row r="61" spans="1:10" x14ac:dyDescent="0.2">
      <c r="A61" s="415"/>
      <c r="B61" s="409"/>
      <c r="C61" s="410"/>
      <c r="D61" s="287"/>
      <c r="E61" s="288"/>
      <c r="F61" s="287"/>
      <c r="G61" s="287"/>
      <c r="H61" s="287"/>
      <c r="I61" s="287"/>
      <c r="J61" s="287"/>
    </row>
    <row r="62" spans="1:10" ht="21.75" x14ac:dyDescent="0.2">
      <c r="A62" s="288"/>
      <c r="B62" s="409" t="s">
        <v>598</v>
      </c>
      <c r="C62" s="410"/>
      <c r="D62" s="287" t="s">
        <v>1</v>
      </c>
      <c r="E62" s="288" t="s">
        <v>570</v>
      </c>
      <c r="F62" s="287">
        <v>0.54</v>
      </c>
      <c r="G62" s="287">
        <v>0.53</v>
      </c>
      <c r="H62" s="287">
        <v>0.51</v>
      </c>
      <c r="I62" s="287">
        <v>0.55000000000000004</v>
      </c>
      <c r="J62" s="287">
        <v>0.59</v>
      </c>
    </row>
    <row r="63" spans="1:10" x14ac:dyDescent="0.2">
      <c r="A63" s="288"/>
      <c r="B63" s="409" t="s">
        <v>599</v>
      </c>
      <c r="C63" s="410"/>
      <c r="D63" s="287" t="s">
        <v>591</v>
      </c>
      <c r="E63" s="288" t="s">
        <v>600</v>
      </c>
      <c r="F63" s="287">
        <v>0.06</v>
      </c>
      <c r="G63" s="287">
        <v>0.1</v>
      </c>
      <c r="H63" s="287">
        <v>0.13</v>
      </c>
      <c r="I63" s="287">
        <v>0.18</v>
      </c>
      <c r="J63" s="287">
        <v>0.25</v>
      </c>
    </row>
    <row r="64" spans="1:10" x14ac:dyDescent="0.2">
      <c r="A64" s="288"/>
      <c r="B64" s="409" t="s">
        <v>634</v>
      </c>
      <c r="C64" s="410"/>
      <c r="D64" s="287" t="s">
        <v>591</v>
      </c>
      <c r="E64" s="288"/>
      <c r="F64" s="287" t="s">
        <v>388</v>
      </c>
      <c r="G64" s="287">
        <v>0.13</v>
      </c>
      <c r="H64" s="287">
        <v>0.13</v>
      </c>
      <c r="I64" s="287">
        <v>0.23</v>
      </c>
      <c r="J64" s="287">
        <v>0.3</v>
      </c>
    </row>
    <row r="65" spans="1:10" x14ac:dyDescent="0.2">
      <c r="A65" s="288"/>
      <c r="B65" s="409" t="s">
        <v>601</v>
      </c>
      <c r="C65" s="410"/>
      <c r="D65" s="287" t="s">
        <v>4</v>
      </c>
      <c r="E65" s="288"/>
      <c r="F65" s="397" t="s">
        <v>602</v>
      </c>
      <c r="G65" s="397"/>
      <c r="H65" s="397"/>
      <c r="I65" s="397"/>
      <c r="J65" s="397"/>
    </row>
    <row r="66" spans="1:10" x14ac:dyDescent="0.2">
      <c r="A66" s="288"/>
      <c r="B66" s="409" t="s">
        <v>603</v>
      </c>
      <c r="C66" s="410"/>
      <c r="D66" s="287" t="s">
        <v>604</v>
      </c>
      <c r="E66" s="288"/>
      <c r="F66" s="287">
        <v>120</v>
      </c>
      <c r="G66" s="287">
        <v>120</v>
      </c>
      <c r="H66" s="287">
        <v>120</v>
      </c>
      <c r="I66" s="287">
        <v>120</v>
      </c>
      <c r="J66" s="287">
        <v>120</v>
      </c>
    </row>
    <row r="67" spans="1:10" x14ac:dyDescent="0.2">
      <c r="A67" s="288"/>
      <c r="B67" s="409" t="s">
        <v>605</v>
      </c>
      <c r="C67" s="410"/>
      <c r="D67" s="287"/>
      <c r="E67" s="288"/>
      <c r="F67" s="397" t="s">
        <v>606</v>
      </c>
      <c r="G67" s="397"/>
      <c r="H67" s="397"/>
      <c r="I67" s="397"/>
      <c r="J67" s="397"/>
    </row>
    <row r="68" spans="1:10" x14ac:dyDescent="0.2">
      <c r="A68" s="416" t="s">
        <v>635</v>
      </c>
      <c r="B68" s="416"/>
      <c r="C68" s="416"/>
      <c r="D68" s="416"/>
      <c r="E68" s="416"/>
      <c r="F68" s="416"/>
      <c r="G68" s="416"/>
      <c r="H68" s="416"/>
      <c r="I68" s="416"/>
      <c r="J68" s="416"/>
    </row>
    <row r="69" spans="1:10" x14ac:dyDescent="0.2">
      <c r="A69" s="412"/>
      <c r="B69" s="412"/>
      <c r="C69" s="412"/>
      <c r="D69" s="412"/>
      <c r="E69" s="412"/>
      <c r="F69" s="412"/>
      <c r="G69" s="412"/>
      <c r="H69" s="412"/>
      <c r="I69" s="412"/>
      <c r="J69" s="412"/>
    </row>
    <row r="70" spans="1:10" x14ac:dyDescent="0.2">
      <c r="A70" s="412"/>
      <c r="B70" s="412"/>
      <c r="C70" s="412"/>
      <c r="D70" s="412"/>
      <c r="E70" s="412"/>
      <c r="F70" s="412"/>
      <c r="G70" s="412"/>
      <c r="H70" s="412"/>
      <c r="I70" s="412"/>
      <c r="J70" s="412"/>
    </row>
    <row r="71" spans="1:10" x14ac:dyDescent="0.2">
      <c r="A71" s="288"/>
      <c r="B71" s="407"/>
      <c r="C71" s="408"/>
      <c r="D71" s="286" t="s">
        <v>563</v>
      </c>
      <c r="E71" s="286" t="s">
        <v>607</v>
      </c>
      <c r="F71" s="286" t="s">
        <v>608</v>
      </c>
      <c r="G71" s="286" t="s">
        <v>609</v>
      </c>
      <c r="H71" s="286" t="s">
        <v>610</v>
      </c>
      <c r="I71" s="286" t="s">
        <v>611</v>
      </c>
      <c r="J71" s="286" t="s">
        <v>612</v>
      </c>
    </row>
    <row r="72" spans="1:10" ht="12" customHeight="1" x14ac:dyDescent="0.2">
      <c r="A72" s="288"/>
      <c r="B72" s="288"/>
      <c r="C72" s="288"/>
      <c r="D72" s="287"/>
      <c r="E72" s="287"/>
      <c r="F72" s="287"/>
      <c r="G72" s="287"/>
      <c r="H72" s="287"/>
      <c r="I72" s="287"/>
      <c r="J72" s="287"/>
    </row>
    <row r="73" spans="1:10" ht="0.75" hidden="1" customHeight="1" x14ac:dyDescent="0.2">
      <c r="A73" s="288"/>
      <c r="B73" s="395" t="s">
        <v>613</v>
      </c>
      <c r="C73" s="396"/>
      <c r="D73" s="287" t="s">
        <v>614</v>
      </c>
      <c r="E73" s="287" t="s">
        <v>615</v>
      </c>
      <c r="F73" s="287" t="s">
        <v>615</v>
      </c>
      <c r="G73" s="287" t="s">
        <v>614</v>
      </c>
      <c r="H73" s="287" t="s">
        <v>614</v>
      </c>
      <c r="I73" s="287" t="s">
        <v>614</v>
      </c>
      <c r="J73" s="287" t="s">
        <v>614</v>
      </c>
    </row>
    <row r="74" spans="1:10" ht="12.75" customHeight="1" x14ac:dyDescent="0.2">
      <c r="A74" s="293"/>
      <c r="B74" s="393" t="s">
        <v>616</v>
      </c>
      <c r="C74" s="394"/>
      <c r="D74" s="294" t="s">
        <v>617</v>
      </c>
      <c r="E74" s="294" t="s">
        <v>617</v>
      </c>
      <c r="F74" s="294" t="s">
        <v>618</v>
      </c>
      <c r="G74" s="294" t="s">
        <v>619</v>
      </c>
      <c r="H74" s="294" t="s">
        <v>620</v>
      </c>
      <c r="I74" s="294" t="s">
        <v>621</v>
      </c>
      <c r="J74" s="294" t="s">
        <v>622</v>
      </c>
    </row>
    <row r="75" spans="1:10" x14ac:dyDescent="0.2">
      <c r="A75" s="288"/>
      <c r="B75" s="395" t="s">
        <v>623</v>
      </c>
      <c r="C75" s="396"/>
      <c r="D75" s="287" t="s">
        <v>624</v>
      </c>
      <c r="E75" s="287" t="s">
        <v>624</v>
      </c>
      <c r="F75" s="287" t="s">
        <v>625</v>
      </c>
      <c r="G75" s="287" t="s">
        <v>625</v>
      </c>
      <c r="H75" s="287" t="s">
        <v>626</v>
      </c>
      <c r="I75" s="287" t="s">
        <v>625</v>
      </c>
      <c r="J75" s="287" t="s">
        <v>625</v>
      </c>
    </row>
    <row r="76" spans="1:10" ht="17.25" customHeight="1" x14ac:dyDescent="0.2"/>
    <row r="85" spans="6:8" x14ac:dyDescent="0.2">
      <c r="F85" s="295" t="s">
        <v>627</v>
      </c>
      <c r="G85" s="414" t="s">
        <v>628</v>
      </c>
      <c r="H85" s="414"/>
    </row>
    <row r="86" spans="6:8" x14ac:dyDescent="0.2">
      <c r="F86" s="296" t="s">
        <v>629</v>
      </c>
      <c r="G86" s="414" t="s">
        <v>630</v>
      </c>
      <c r="H86" s="414"/>
    </row>
    <row r="87" spans="6:8" x14ac:dyDescent="0.2">
      <c r="G87" s="414" t="s">
        <v>631</v>
      </c>
      <c r="H87" s="414"/>
    </row>
    <row r="88" spans="6:8" ht="12.75" customHeight="1" x14ac:dyDescent="0.2">
      <c r="F88" s="413" t="s">
        <v>636</v>
      </c>
      <c r="G88" s="413"/>
      <c r="H88" s="413"/>
    </row>
    <row r="89" spans="6:8" x14ac:dyDescent="0.2">
      <c r="F89" s="413"/>
      <c r="G89" s="413"/>
      <c r="H89" s="413"/>
    </row>
    <row r="90" spans="6:8" x14ac:dyDescent="0.2">
      <c r="F90" s="413"/>
      <c r="G90" s="413"/>
      <c r="H90" s="413"/>
    </row>
    <row r="91" spans="6:8" x14ac:dyDescent="0.2">
      <c r="F91" s="413"/>
      <c r="G91" s="413"/>
      <c r="H91" s="413"/>
    </row>
    <row r="92" spans="6:8" x14ac:dyDescent="0.2">
      <c r="F92" s="413"/>
      <c r="G92" s="413"/>
      <c r="H92" s="413"/>
    </row>
    <row r="93" spans="6:8" x14ac:dyDescent="0.2">
      <c r="F93" s="413"/>
      <c r="G93" s="413"/>
      <c r="H93" s="413"/>
    </row>
    <row r="94" spans="6:8" x14ac:dyDescent="0.2">
      <c r="F94" s="413"/>
      <c r="G94" s="413"/>
      <c r="H94" s="413"/>
    </row>
    <row r="98" spans="7:7" x14ac:dyDescent="0.2">
      <c r="G98" s="297" t="s">
        <v>627</v>
      </c>
    </row>
    <row r="99" spans="7:7" x14ac:dyDescent="0.2">
      <c r="G99" s="296" t="s">
        <v>632</v>
      </c>
    </row>
    <row r="101" spans="7:7" x14ac:dyDescent="0.2">
      <c r="G101" t="s">
        <v>633</v>
      </c>
    </row>
  </sheetData>
  <sheetProtection sheet="1" objects="1" scenarios="1"/>
  <mergeCells count="48">
    <mergeCell ref="B57:C57"/>
    <mergeCell ref="B2:B3"/>
    <mergeCell ref="D2:E2"/>
    <mergeCell ref="F2:G2"/>
    <mergeCell ref="F56:J56"/>
    <mergeCell ref="A36:I36"/>
    <mergeCell ref="B46:C46"/>
    <mergeCell ref="B47:C47"/>
    <mergeCell ref="B48:C48"/>
    <mergeCell ref="A42:A47"/>
    <mergeCell ref="A37:C37"/>
    <mergeCell ref="F88:H94"/>
    <mergeCell ref="G85:H85"/>
    <mergeCell ref="G86:H86"/>
    <mergeCell ref="G87:H87"/>
    <mergeCell ref="B73:C73"/>
    <mergeCell ref="A38:C40"/>
    <mergeCell ref="A41:C41"/>
    <mergeCell ref="A69:J69"/>
    <mergeCell ref="A70:J70"/>
    <mergeCell ref="B54:C54"/>
    <mergeCell ref="B55:C55"/>
    <mergeCell ref="B56:C56"/>
    <mergeCell ref="E46:E48"/>
    <mergeCell ref="B58:C58"/>
    <mergeCell ref="F65:J65"/>
    <mergeCell ref="F67:J67"/>
    <mergeCell ref="B67:C67"/>
    <mergeCell ref="F57:J57"/>
    <mergeCell ref="A58:A61"/>
    <mergeCell ref="A49:A53"/>
    <mergeCell ref="A68:J68"/>
    <mergeCell ref="B74:C74"/>
    <mergeCell ref="B75:C75"/>
    <mergeCell ref="B42:J45"/>
    <mergeCell ref="D52:D53"/>
    <mergeCell ref="B49:J51"/>
    <mergeCell ref="B52:C52"/>
    <mergeCell ref="B53:C53"/>
    <mergeCell ref="B71:C71"/>
    <mergeCell ref="B65:C65"/>
    <mergeCell ref="B66:C66"/>
    <mergeCell ref="B59:C59"/>
    <mergeCell ref="B60:C60"/>
    <mergeCell ref="B61:C61"/>
    <mergeCell ref="B62:C62"/>
    <mergeCell ref="B63:C63"/>
    <mergeCell ref="B64:C64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9"/>
  <sheetViews>
    <sheetView showGridLines="0" zoomScale="146" workbookViewId="0">
      <selection activeCell="C2" sqref="C2"/>
    </sheetView>
  </sheetViews>
  <sheetFormatPr defaultRowHeight="12.75" x14ac:dyDescent="0.2"/>
  <cols>
    <col min="1" max="1" width="30.5703125" customWidth="1"/>
    <col min="2" max="2" width="18.28515625" customWidth="1"/>
    <col min="8" max="8" width="35.42578125" customWidth="1"/>
  </cols>
  <sheetData>
    <row r="1" spans="1:7" x14ac:dyDescent="0.2">
      <c r="A1" s="429" t="s">
        <v>637</v>
      </c>
      <c r="B1" s="429" t="s">
        <v>638</v>
      </c>
      <c r="C1" s="429" t="s">
        <v>639</v>
      </c>
      <c r="D1" s="429"/>
      <c r="E1" s="429"/>
      <c r="F1" s="429"/>
      <c r="G1" s="429"/>
    </row>
    <row r="2" spans="1:7" x14ac:dyDescent="0.2">
      <c r="A2" s="429"/>
      <c r="B2" s="429"/>
      <c r="C2" s="298" t="s">
        <v>640</v>
      </c>
      <c r="D2" s="298" t="s">
        <v>641</v>
      </c>
      <c r="E2" s="298" t="s">
        <v>642</v>
      </c>
      <c r="F2" s="298" t="s">
        <v>643</v>
      </c>
      <c r="G2" s="298" t="s">
        <v>644</v>
      </c>
    </row>
    <row r="3" spans="1:7" ht="21.75" x14ac:dyDescent="0.2">
      <c r="A3" s="299" t="s">
        <v>645</v>
      </c>
      <c r="B3" s="299" t="s">
        <v>646</v>
      </c>
      <c r="C3" s="300">
        <v>0.03</v>
      </c>
      <c r="D3" s="300">
        <v>0.05</v>
      </c>
      <c r="E3" s="300">
        <v>0.05</v>
      </c>
      <c r="F3" s="300">
        <v>7.0000000000000007E-2</v>
      </c>
      <c r="G3" s="300">
        <v>5.8000000000000003E-2</v>
      </c>
    </row>
    <row r="4" spans="1:7" ht="21.75" x14ac:dyDescent="0.2">
      <c r="A4" s="299" t="s">
        <v>647</v>
      </c>
      <c r="B4" s="299" t="s">
        <v>648</v>
      </c>
      <c r="C4" s="300">
        <v>1</v>
      </c>
      <c r="D4" s="300">
        <v>1.6</v>
      </c>
      <c r="E4" s="300">
        <v>1.6</v>
      </c>
      <c r="F4" s="300">
        <v>1.7</v>
      </c>
      <c r="G4" s="300">
        <v>1.6</v>
      </c>
    </row>
    <row r="5" spans="1:7" x14ac:dyDescent="0.2">
      <c r="A5" s="299" t="s">
        <v>649</v>
      </c>
      <c r="B5" s="299" t="s">
        <v>650</v>
      </c>
      <c r="C5" s="300">
        <v>95</v>
      </c>
      <c r="D5" s="300">
        <v>200</v>
      </c>
      <c r="E5" s="300">
        <v>100</v>
      </c>
      <c r="F5" s="300">
        <v>400</v>
      </c>
      <c r="G5" s="300">
        <v>110</v>
      </c>
    </row>
    <row r="6" spans="1:7" x14ac:dyDescent="0.2">
      <c r="A6" s="299" t="s">
        <v>651</v>
      </c>
      <c r="B6" s="299" t="s">
        <v>4</v>
      </c>
      <c r="C6" s="300">
        <v>150</v>
      </c>
      <c r="D6" s="300">
        <v>180</v>
      </c>
      <c r="E6" s="300">
        <v>300</v>
      </c>
      <c r="F6" s="300">
        <v>150</v>
      </c>
      <c r="G6" s="300">
        <v>180</v>
      </c>
    </row>
    <row r="7" spans="1:7" x14ac:dyDescent="0.2">
      <c r="A7" s="299" t="s">
        <v>652</v>
      </c>
      <c r="B7" s="299" t="s">
        <v>653</v>
      </c>
      <c r="C7" s="300">
        <v>6</v>
      </c>
      <c r="D7" s="300">
        <v>70</v>
      </c>
      <c r="E7" s="300">
        <v>70</v>
      </c>
      <c r="F7" s="300">
        <v>6</v>
      </c>
      <c r="G7" s="300">
        <v>70</v>
      </c>
    </row>
    <row r="8" spans="1:7" x14ac:dyDescent="0.2">
      <c r="A8" s="299" t="s">
        <v>654</v>
      </c>
      <c r="B8" s="299" t="s">
        <v>1</v>
      </c>
      <c r="C8" s="300">
        <v>0.4</v>
      </c>
      <c r="D8" s="300">
        <v>0.8</v>
      </c>
      <c r="E8" s="300" t="s">
        <v>500</v>
      </c>
      <c r="F8" s="300">
        <v>0.5</v>
      </c>
      <c r="G8" s="300">
        <v>1.2</v>
      </c>
    </row>
    <row r="9" spans="1:7" x14ac:dyDescent="0.2">
      <c r="A9" s="299" t="s">
        <v>655</v>
      </c>
      <c r="B9" s="299" t="s">
        <v>656</v>
      </c>
      <c r="C9" s="300" t="s">
        <v>657</v>
      </c>
      <c r="D9" s="300" t="s">
        <v>658</v>
      </c>
      <c r="E9" s="300" t="s">
        <v>659</v>
      </c>
      <c r="F9" s="300" t="s">
        <v>660</v>
      </c>
      <c r="G9" s="300" t="s">
        <v>661</v>
      </c>
    </row>
    <row r="10" spans="1:7" x14ac:dyDescent="0.2">
      <c r="A10" s="428" t="s">
        <v>662</v>
      </c>
      <c r="B10" s="299" t="s">
        <v>663</v>
      </c>
      <c r="C10" s="300" t="s">
        <v>383</v>
      </c>
      <c r="D10" s="300" t="s">
        <v>383</v>
      </c>
      <c r="E10" s="300" t="s">
        <v>383</v>
      </c>
      <c r="F10" s="300" t="s">
        <v>383</v>
      </c>
      <c r="G10" s="300" t="s">
        <v>383</v>
      </c>
    </row>
    <row r="11" spans="1:7" x14ac:dyDescent="0.2">
      <c r="A11" s="428"/>
      <c r="B11" s="299" t="s">
        <v>664</v>
      </c>
      <c r="C11" s="300" t="s">
        <v>383</v>
      </c>
      <c r="D11" s="300" t="s">
        <v>383</v>
      </c>
      <c r="E11" s="300" t="s">
        <v>383</v>
      </c>
      <c r="F11" s="300" t="s">
        <v>383</v>
      </c>
      <c r="G11" s="300" t="s">
        <v>383</v>
      </c>
    </row>
    <row r="12" spans="1:7" x14ac:dyDescent="0.2">
      <c r="A12" s="428"/>
      <c r="B12" s="299" t="s">
        <v>665</v>
      </c>
      <c r="C12" s="300" t="s">
        <v>383</v>
      </c>
      <c r="D12" s="300" t="s">
        <v>383</v>
      </c>
      <c r="E12" s="300" t="s">
        <v>500</v>
      </c>
      <c r="F12" s="300" t="s">
        <v>383</v>
      </c>
      <c r="G12" s="300" t="s">
        <v>383</v>
      </c>
    </row>
    <row r="13" spans="1:7" x14ac:dyDescent="0.2">
      <c r="A13" s="428" t="s">
        <v>666</v>
      </c>
      <c r="B13" s="299" t="s">
        <v>667</v>
      </c>
      <c r="C13" s="300" t="s">
        <v>383</v>
      </c>
      <c r="D13" s="300" t="s">
        <v>383</v>
      </c>
      <c r="E13" s="300" t="s">
        <v>383</v>
      </c>
      <c r="F13" s="300" t="s">
        <v>383</v>
      </c>
      <c r="G13" s="300" t="s">
        <v>383</v>
      </c>
    </row>
    <row r="14" spans="1:7" x14ac:dyDescent="0.2">
      <c r="A14" s="428"/>
      <c r="B14" s="299" t="s">
        <v>665</v>
      </c>
      <c r="C14" s="300" t="s">
        <v>383</v>
      </c>
      <c r="D14" s="300" t="s">
        <v>388</v>
      </c>
      <c r="E14" s="300" t="s">
        <v>388</v>
      </c>
      <c r="F14" s="300" t="s">
        <v>388</v>
      </c>
      <c r="G14" s="300" t="s">
        <v>388</v>
      </c>
    </row>
    <row r="15" spans="1:7" x14ac:dyDescent="0.2">
      <c r="A15" s="428" t="s">
        <v>668</v>
      </c>
      <c r="B15" s="299" t="s">
        <v>669</v>
      </c>
      <c r="C15" s="300" t="s">
        <v>383</v>
      </c>
      <c r="D15" s="300" t="s">
        <v>383</v>
      </c>
      <c r="E15" s="300" t="s">
        <v>383</v>
      </c>
      <c r="F15" s="300" t="s">
        <v>383</v>
      </c>
      <c r="G15" s="300" t="s">
        <v>383</v>
      </c>
    </row>
    <row r="16" spans="1:7" x14ac:dyDescent="0.2">
      <c r="A16" s="428"/>
      <c r="B16" s="299" t="s">
        <v>670</v>
      </c>
      <c r="C16" s="300" t="s">
        <v>383</v>
      </c>
      <c r="D16" s="300" t="s">
        <v>388</v>
      </c>
      <c r="E16" s="300" t="s">
        <v>388</v>
      </c>
      <c r="F16" s="300" t="s">
        <v>388</v>
      </c>
      <c r="G16" s="300" t="s">
        <v>388</v>
      </c>
    </row>
    <row r="17" spans="1:8" ht="21.75" x14ac:dyDescent="0.2">
      <c r="A17" s="428" t="s">
        <v>671</v>
      </c>
      <c r="B17" s="299" t="s">
        <v>672</v>
      </c>
      <c r="C17" s="300" t="s">
        <v>383</v>
      </c>
      <c r="D17" s="300" t="s">
        <v>388</v>
      </c>
      <c r="E17" s="300" t="s">
        <v>388</v>
      </c>
      <c r="F17" s="300" t="s">
        <v>383</v>
      </c>
      <c r="G17" s="300" t="s">
        <v>383</v>
      </c>
    </row>
    <row r="18" spans="1:8" ht="21.75" x14ac:dyDescent="0.2">
      <c r="A18" s="428"/>
      <c r="B18" s="299" t="s">
        <v>673</v>
      </c>
      <c r="C18" s="300" t="s">
        <v>383</v>
      </c>
      <c r="D18" s="300" t="s">
        <v>383</v>
      </c>
      <c r="E18" s="300" t="s">
        <v>383</v>
      </c>
      <c r="F18" s="300" t="s">
        <v>383</v>
      </c>
      <c r="G18" s="300" t="s">
        <v>383</v>
      </c>
    </row>
    <row r="19" spans="1:8" ht="32.25" x14ac:dyDescent="0.2">
      <c r="A19" s="299" t="s">
        <v>674</v>
      </c>
      <c r="B19" s="299"/>
      <c r="C19" s="300" t="s">
        <v>388</v>
      </c>
      <c r="D19" s="300" t="s">
        <v>383</v>
      </c>
      <c r="E19" s="300" t="s">
        <v>383</v>
      </c>
      <c r="F19" s="300" t="s">
        <v>388</v>
      </c>
      <c r="G19" s="300" t="s">
        <v>383</v>
      </c>
    </row>
    <row r="20" spans="1:8" ht="21.75" x14ac:dyDescent="0.2">
      <c r="A20" s="299" t="s">
        <v>675</v>
      </c>
      <c r="B20" s="299"/>
      <c r="C20" s="300" t="s">
        <v>388</v>
      </c>
      <c r="D20" s="300" t="s">
        <v>383</v>
      </c>
      <c r="E20" s="300" t="s">
        <v>383</v>
      </c>
      <c r="F20" s="300" t="s">
        <v>388</v>
      </c>
      <c r="G20" s="300" t="s">
        <v>383</v>
      </c>
    </row>
    <row r="21" spans="1:8" ht="32.25" x14ac:dyDescent="0.2">
      <c r="A21" s="299" t="s">
        <v>676</v>
      </c>
      <c r="B21" s="299"/>
      <c r="C21" s="300" t="s">
        <v>383</v>
      </c>
      <c r="D21" s="300" t="s">
        <v>388</v>
      </c>
      <c r="E21" s="300" t="s">
        <v>388</v>
      </c>
      <c r="F21" s="300" t="s">
        <v>388</v>
      </c>
      <c r="G21" s="300" t="s">
        <v>388</v>
      </c>
    </row>
    <row r="22" spans="1:8" ht="21.75" x14ac:dyDescent="0.2">
      <c r="A22" s="299" t="s">
        <v>677</v>
      </c>
      <c r="B22" s="299"/>
      <c r="C22" s="300" t="s">
        <v>383</v>
      </c>
      <c r="D22" s="300" t="s">
        <v>388</v>
      </c>
      <c r="E22" s="300" t="s">
        <v>388</v>
      </c>
      <c r="F22" s="300" t="s">
        <v>388</v>
      </c>
      <c r="G22" s="300" t="s">
        <v>388</v>
      </c>
    </row>
    <row r="23" spans="1:8" ht="23.25" customHeight="1" x14ac:dyDescent="0.2">
      <c r="A23" s="301" t="s">
        <v>678</v>
      </c>
      <c r="B23" s="426" t="s">
        <v>679</v>
      </c>
      <c r="C23" s="426"/>
      <c r="D23" s="426"/>
      <c r="E23" s="426"/>
      <c r="F23" s="426"/>
      <c r="G23" s="301"/>
    </row>
    <row r="24" spans="1:8" x14ac:dyDescent="0.2">
      <c r="A24" s="302" t="s">
        <v>680</v>
      </c>
      <c r="B24" s="427" t="s">
        <v>681</v>
      </c>
      <c r="C24" s="427"/>
      <c r="D24" s="427"/>
      <c r="E24" s="427"/>
      <c r="F24" s="427"/>
      <c r="G24" s="302"/>
    </row>
    <row r="25" spans="1:8" ht="20.25" x14ac:dyDescent="0.2">
      <c r="A25" s="302" t="s">
        <v>682</v>
      </c>
      <c r="B25" s="427" t="s">
        <v>683</v>
      </c>
      <c r="C25" s="427"/>
      <c r="D25" s="427"/>
      <c r="E25" s="427"/>
      <c r="F25" s="427"/>
      <c r="G25" s="302"/>
    </row>
    <row r="26" spans="1:8" x14ac:dyDescent="0.2">
      <c r="A26" s="302" t="s">
        <v>684</v>
      </c>
      <c r="B26" s="427" t="s">
        <v>685</v>
      </c>
      <c r="C26" s="427"/>
      <c r="D26" s="427"/>
      <c r="E26" s="427"/>
      <c r="F26" s="427"/>
      <c r="G26" s="302"/>
    </row>
    <row r="27" spans="1:8" x14ac:dyDescent="0.2">
      <c r="A27" s="303" t="s">
        <v>686</v>
      </c>
      <c r="B27" s="427" t="s">
        <v>687</v>
      </c>
      <c r="C27" s="427"/>
      <c r="D27" s="427"/>
      <c r="E27" s="427"/>
      <c r="F27" s="427"/>
      <c r="G27" s="302"/>
    </row>
    <row r="28" spans="1:8" x14ac:dyDescent="0.2">
      <c r="A28" s="430"/>
      <c r="B28" s="430"/>
      <c r="C28" s="430"/>
      <c r="D28" s="430"/>
      <c r="E28" s="430"/>
      <c r="F28" s="430"/>
      <c r="G28" s="430"/>
      <c r="H28" s="430"/>
    </row>
    <row r="29" spans="1:8" x14ac:dyDescent="0.2">
      <c r="A29" s="425"/>
      <c r="B29" s="425"/>
      <c r="C29" s="425"/>
      <c r="D29" s="425"/>
      <c r="E29" s="425"/>
      <c r="F29" s="425"/>
      <c r="G29" s="425"/>
      <c r="H29" s="425"/>
    </row>
  </sheetData>
  <sheetProtection sheet="1" objects="1" scenarios="1"/>
  <mergeCells count="14">
    <mergeCell ref="A15:A16"/>
    <mergeCell ref="A17:A18"/>
    <mergeCell ref="A1:A2"/>
    <mergeCell ref="A28:H28"/>
    <mergeCell ref="B1:B2"/>
    <mergeCell ref="C1:G1"/>
    <mergeCell ref="A10:A12"/>
    <mergeCell ref="A13:A14"/>
    <mergeCell ref="A29:H29"/>
    <mergeCell ref="B23:F23"/>
    <mergeCell ref="B24:F24"/>
    <mergeCell ref="B25:F25"/>
    <mergeCell ref="B26:F26"/>
    <mergeCell ref="B27:F27"/>
  </mergeCells>
  <phoneticPr fontId="31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M254"/>
  <sheetViews>
    <sheetView showGridLines="0" zoomScale="111" workbookViewId="0">
      <pane xSplit="5" ySplit="8" topLeftCell="F9" activePane="bottomRight" state="frozenSplit"/>
      <selection pane="topRight" activeCell="F1" sqref="F1"/>
      <selection pane="bottomLeft" activeCell="A8" sqref="A8"/>
      <selection pane="bottomRight" activeCell="B11" sqref="B11:B22"/>
    </sheetView>
  </sheetViews>
  <sheetFormatPr defaultRowHeight="12.75" x14ac:dyDescent="0.2"/>
  <cols>
    <col min="2" max="2" width="38.42578125" customWidth="1"/>
    <col min="10" max="10" width="13" customWidth="1"/>
  </cols>
  <sheetData>
    <row r="1" spans="1:13" ht="24" customHeight="1" thickBot="1" x14ac:dyDescent="0.25">
      <c r="A1" s="256"/>
      <c r="B1" s="257"/>
      <c r="C1" s="459" t="s">
        <v>398</v>
      </c>
      <c r="D1" s="460"/>
      <c r="E1" s="461"/>
      <c r="F1" s="457" t="s">
        <v>399</v>
      </c>
      <c r="G1" s="458"/>
      <c r="H1" s="459" t="s">
        <v>400</v>
      </c>
      <c r="I1" s="460"/>
      <c r="J1" s="460"/>
      <c r="K1" s="460"/>
      <c r="L1" s="460"/>
      <c r="M1" s="461"/>
    </row>
    <row r="2" spans="1:13" ht="11.25" customHeight="1" x14ac:dyDescent="0.2">
      <c r="A2" s="462" t="s">
        <v>401</v>
      </c>
      <c r="B2" s="462" t="s">
        <v>402</v>
      </c>
      <c r="C2" s="258" t="s">
        <v>403</v>
      </c>
      <c r="D2" s="257" t="s">
        <v>404</v>
      </c>
      <c r="E2" s="257" t="s">
        <v>405</v>
      </c>
      <c r="F2" s="443" t="s">
        <v>406</v>
      </c>
      <c r="G2" s="444"/>
      <c r="H2" s="453" t="s">
        <v>407</v>
      </c>
      <c r="I2" s="454"/>
      <c r="J2" s="259" t="s">
        <v>407</v>
      </c>
      <c r="K2" s="457" t="s">
        <v>407</v>
      </c>
      <c r="L2" s="458"/>
      <c r="M2" s="257" t="s">
        <v>408</v>
      </c>
    </row>
    <row r="3" spans="1:13" ht="12" customHeight="1" x14ac:dyDescent="0.2">
      <c r="A3" s="462"/>
      <c r="B3" s="462"/>
      <c r="C3" s="258" t="s">
        <v>409</v>
      </c>
      <c r="D3" s="258" t="s">
        <v>410</v>
      </c>
      <c r="E3" s="258" t="s">
        <v>411</v>
      </c>
      <c r="F3" s="443" t="s">
        <v>412</v>
      </c>
      <c r="G3" s="444"/>
      <c r="H3" s="455" t="s">
        <v>413</v>
      </c>
      <c r="I3" s="456"/>
      <c r="J3" s="260" t="s">
        <v>414</v>
      </c>
      <c r="K3" s="443" t="s">
        <v>415</v>
      </c>
      <c r="L3" s="444"/>
      <c r="M3" s="258" t="s">
        <v>416</v>
      </c>
    </row>
    <row r="4" spans="1:13" ht="13.5" x14ac:dyDescent="0.2">
      <c r="A4" s="462"/>
      <c r="B4" s="462"/>
      <c r="C4" s="258" t="s">
        <v>548</v>
      </c>
      <c r="D4" s="258" t="s">
        <v>417</v>
      </c>
      <c r="E4" s="258" t="s">
        <v>418</v>
      </c>
      <c r="F4" s="443" t="s">
        <v>419</v>
      </c>
      <c r="G4" s="444"/>
      <c r="H4" s="455" t="s">
        <v>549</v>
      </c>
      <c r="I4" s="456"/>
      <c r="J4" s="260" t="s">
        <v>420</v>
      </c>
      <c r="K4" s="443" t="s">
        <v>421</v>
      </c>
      <c r="L4" s="444"/>
      <c r="M4" s="258" t="s">
        <v>422</v>
      </c>
    </row>
    <row r="5" spans="1:13" ht="24" customHeight="1" x14ac:dyDescent="0.2">
      <c r="A5" s="462"/>
      <c r="B5" s="462"/>
      <c r="C5" s="261"/>
      <c r="D5" s="258" t="s">
        <v>423</v>
      </c>
      <c r="E5" s="258" t="s">
        <v>424</v>
      </c>
      <c r="F5" s="443" t="s">
        <v>550</v>
      </c>
      <c r="G5" s="444"/>
      <c r="H5" s="449"/>
      <c r="I5" s="450"/>
      <c r="J5" s="262"/>
      <c r="K5" s="443" t="s">
        <v>551</v>
      </c>
      <c r="L5" s="444"/>
      <c r="M5" s="258" t="s">
        <v>552</v>
      </c>
    </row>
    <row r="6" spans="1:13" ht="15.75" customHeight="1" x14ac:dyDescent="0.2">
      <c r="A6" s="462"/>
      <c r="B6" s="462"/>
      <c r="C6" s="261"/>
      <c r="D6" s="258" t="s">
        <v>425</v>
      </c>
      <c r="E6" s="258" t="s">
        <v>426</v>
      </c>
      <c r="F6" s="463"/>
      <c r="G6" s="464"/>
      <c r="H6" s="449"/>
      <c r="I6" s="450"/>
      <c r="J6" s="262"/>
      <c r="K6" s="443" t="s">
        <v>553</v>
      </c>
      <c r="L6" s="444"/>
      <c r="M6" s="258" t="s">
        <v>427</v>
      </c>
    </row>
    <row r="7" spans="1:13" ht="13.5" thickBot="1" x14ac:dyDescent="0.25">
      <c r="A7" s="462"/>
      <c r="B7" s="462"/>
      <c r="C7" s="261"/>
      <c r="D7" s="261"/>
      <c r="E7" s="258" t="s">
        <v>428</v>
      </c>
      <c r="F7" s="447"/>
      <c r="G7" s="448"/>
      <c r="H7" s="451"/>
      <c r="I7" s="452"/>
      <c r="J7" s="264"/>
      <c r="K7" s="445"/>
      <c r="L7" s="446"/>
      <c r="M7" s="263"/>
    </row>
    <row r="8" spans="1:13" ht="13.5" thickBot="1" x14ac:dyDescent="0.25">
      <c r="A8" s="265"/>
      <c r="B8" s="266"/>
      <c r="C8" s="266"/>
      <c r="D8" s="266"/>
      <c r="E8" s="266"/>
      <c r="F8" s="266" t="s">
        <v>429</v>
      </c>
      <c r="G8" s="267" t="s">
        <v>430</v>
      </c>
      <c r="H8" s="268" t="s">
        <v>429</v>
      </c>
      <c r="I8" s="268" t="s">
        <v>430</v>
      </c>
      <c r="J8" s="268" t="s">
        <v>430</v>
      </c>
      <c r="K8" s="266" t="s">
        <v>431</v>
      </c>
      <c r="L8" s="266" t="s">
        <v>430</v>
      </c>
      <c r="M8" s="266" t="s">
        <v>432</v>
      </c>
    </row>
    <row r="9" spans="1:13" ht="13.5" thickBot="1" x14ac:dyDescent="0.25">
      <c r="A9" s="434" t="s">
        <v>433</v>
      </c>
      <c r="B9" s="435"/>
      <c r="C9" s="435"/>
      <c r="D9" s="435"/>
      <c r="E9" s="435"/>
      <c r="F9" s="435"/>
      <c r="G9" s="435"/>
      <c r="H9" s="435"/>
      <c r="I9" s="435"/>
      <c r="J9" s="435"/>
      <c r="K9" s="435"/>
      <c r="L9" s="435"/>
      <c r="M9" s="436"/>
    </row>
    <row r="10" spans="1:13" ht="13.5" thickBot="1" x14ac:dyDescent="0.25">
      <c r="A10" s="431" t="s">
        <v>434</v>
      </c>
      <c r="B10" s="432"/>
      <c r="C10" s="432"/>
      <c r="D10" s="432"/>
      <c r="E10" s="432"/>
      <c r="F10" s="432"/>
      <c r="G10" s="432"/>
      <c r="H10" s="432"/>
      <c r="I10" s="432"/>
      <c r="J10" s="432"/>
      <c r="K10" s="432"/>
      <c r="L10" s="432"/>
      <c r="M10" s="433"/>
    </row>
    <row r="11" spans="1:13" ht="39" thickBot="1" x14ac:dyDescent="0.25">
      <c r="A11" s="265">
        <v>1</v>
      </c>
      <c r="B11" s="269" t="s">
        <v>435</v>
      </c>
      <c r="C11" s="266">
        <v>25</v>
      </c>
      <c r="D11" s="266">
        <v>1.34</v>
      </c>
      <c r="E11" s="266">
        <v>2.9000000000000001E-2</v>
      </c>
      <c r="F11" s="266">
        <v>2</v>
      </c>
      <c r="G11" s="266">
        <v>10</v>
      </c>
      <c r="H11" s="268">
        <v>3.1E-2</v>
      </c>
      <c r="I11" s="268">
        <v>3.1E-2</v>
      </c>
      <c r="J11" s="270">
        <f t="shared" ref="J11:J41" si="0">I11/1.16</f>
        <v>2.6724137931034484E-2</v>
      </c>
      <c r="K11" s="266">
        <v>0.28000000000000003</v>
      </c>
      <c r="L11" s="266">
        <v>0.31</v>
      </c>
      <c r="M11" s="266">
        <v>1.2999999999999999E-2</v>
      </c>
    </row>
    <row r="12" spans="1:13" ht="13.5" thickBot="1" x14ac:dyDescent="0.25">
      <c r="A12" s="265">
        <v>2</v>
      </c>
      <c r="B12" s="269" t="s">
        <v>436</v>
      </c>
      <c r="C12" s="266">
        <v>28</v>
      </c>
      <c r="D12" s="266">
        <v>1.34</v>
      </c>
      <c r="E12" s="266">
        <v>2.9000000000000001E-2</v>
      </c>
      <c r="F12" s="266">
        <v>2</v>
      </c>
      <c r="G12" s="266">
        <v>10</v>
      </c>
      <c r="H12" s="268">
        <v>3.1E-2</v>
      </c>
      <c r="I12" s="268">
        <v>3.1E-2</v>
      </c>
      <c r="J12" s="270">
        <f t="shared" si="0"/>
        <v>2.6724137931034484E-2</v>
      </c>
      <c r="K12" s="266">
        <v>0.3</v>
      </c>
      <c r="L12" s="266">
        <v>0.33</v>
      </c>
      <c r="M12" s="266">
        <v>1.2999999999999999E-2</v>
      </c>
    </row>
    <row r="13" spans="1:13" ht="13.5" thickBot="1" x14ac:dyDescent="0.25">
      <c r="A13" s="265">
        <v>3</v>
      </c>
      <c r="B13" s="269" t="s">
        <v>437</v>
      </c>
      <c r="C13" s="266">
        <v>33</v>
      </c>
      <c r="D13" s="266">
        <v>1.34</v>
      </c>
      <c r="E13" s="266">
        <v>2.9000000000000001E-2</v>
      </c>
      <c r="F13" s="266">
        <v>2</v>
      </c>
      <c r="G13" s="266">
        <v>10</v>
      </c>
      <c r="H13" s="268">
        <v>3.1E-2</v>
      </c>
      <c r="I13" s="268">
        <v>3.1E-2</v>
      </c>
      <c r="J13" s="270">
        <f t="shared" si="0"/>
        <v>2.6724137931034484E-2</v>
      </c>
      <c r="K13" s="266">
        <v>0.32</v>
      </c>
      <c r="L13" s="266">
        <v>0.36</v>
      </c>
      <c r="M13" s="266">
        <v>1.2999999999999999E-2</v>
      </c>
    </row>
    <row r="14" spans="1:13" ht="13.5" thickBot="1" x14ac:dyDescent="0.25">
      <c r="A14" s="265">
        <v>4</v>
      </c>
      <c r="B14" s="269" t="s">
        <v>438</v>
      </c>
      <c r="C14" s="266">
        <v>35</v>
      </c>
      <c r="D14" s="266">
        <v>1.34</v>
      </c>
      <c r="E14" s="266">
        <v>0.03</v>
      </c>
      <c r="F14" s="266">
        <v>2</v>
      </c>
      <c r="G14" s="266">
        <v>10</v>
      </c>
      <c r="H14" s="268">
        <v>3.1E-2</v>
      </c>
      <c r="I14" s="268">
        <v>3.1E-2</v>
      </c>
      <c r="J14" s="270">
        <f t="shared" si="0"/>
        <v>2.6724137931034484E-2</v>
      </c>
      <c r="K14" s="266">
        <v>0.34</v>
      </c>
      <c r="L14" s="266">
        <v>0.37</v>
      </c>
      <c r="M14" s="266">
        <v>5.0000000000000001E-3</v>
      </c>
    </row>
    <row r="15" spans="1:13" ht="13.5" thickBot="1" x14ac:dyDescent="0.25">
      <c r="A15" s="265">
        <v>5</v>
      </c>
      <c r="B15" s="269" t="s">
        <v>439</v>
      </c>
      <c r="C15" s="266">
        <v>45</v>
      </c>
      <c r="D15" s="266">
        <v>1.34</v>
      </c>
      <c r="E15" s="266">
        <v>0.03</v>
      </c>
      <c r="F15" s="266">
        <v>2</v>
      </c>
      <c r="G15" s="266">
        <v>10</v>
      </c>
      <c r="H15" s="268">
        <v>3.1E-2</v>
      </c>
      <c r="I15" s="268">
        <v>3.1E-2</v>
      </c>
      <c r="J15" s="270">
        <f t="shared" si="0"/>
        <v>2.6724137931034484E-2</v>
      </c>
      <c r="K15" s="266">
        <v>0.38</v>
      </c>
      <c r="L15" s="266">
        <v>0.42</v>
      </c>
      <c r="M15" s="266">
        <v>5.0000000000000001E-3</v>
      </c>
    </row>
    <row r="16" spans="1:13" ht="26.25" thickBot="1" x14ac:dyDescent="0.25">
      <c r="A16" s="265">
        <v>6</v>
      </c>
      <c r="B16" s="269" t="s">
        <v>440</v>
      </c>
      <c r="C16" s="266">
        <v>15</v>
      </c>
      <c r="D16" s="266">
        <v>1.34</v>
      </c>
      <c r="E16" s="266">
        <v>3.9E-2</v>
      </c>
      <c r="F16" s="266">
        <v>2</v>
      </c>
      <c r="G16" s="266">
        <v>10</v>
      </c>
      <c r="H16" s="268">
        <v>0.04</v>
      </c>
      <c r="I16" s="268">
        <v>4.3999999999999997E-2</v>
      </c>
      <c r="J16" s="270">
        <f t="shared" si="0"/>
        <v>3.793103448275862E-2</v>
      </c>
      <c r="K16" s="266">
        <v>0.25</v>
      </c>
      <c r="L16" s="266">
        <v>0.28999999999999998</v>
      </c>
      <c r="M16" s="266">
        <v>3.5000000000000003E-2</v>
      </c>
    </row>
    <row r="17" spans="1:13" ht="13.5" thickBot="1" x14ac:dyDescent="0.25">
      <c r="A17" s="265">
        <v>7</v>
      </c>
      <c r="B17" s="269" t="s">
        <v>441</v>
      </c>
      <c r="C17" s="266">
        <v>20</v>
      </c>
      <c r="D17" s="266">
        <v>1.34</v>
      </c>
      <c r="E17" s="266">
        <v>3.6999999999999998E-2</v>
      </c>
      <c r="F17" s="266">
        <v>2</v>
      </c>
      <c r="G17" s="266">
        <v>10</v>
      </c>
      <c r="H17" s="268">
        <v>3.7999999999999999E-2</v>
      </c>
      <c r="I17" s="268">
        <v>4.2000000000000003E-2</v>
      </c>
      <c r="J17" s="270">
        <f t="shared" si="0"/>
        <v>3.6206896551724141E-2</v>
      </c>
      <c r="K17" s="266">
        <v>0.28000000000000003</v>
      </c>
      <c r="L17" s="266">
        <v>0.33</v>
      </c>
      <c r="M17" s="266">
        <v>0.03</v>
      </c>
    </row>
    <row r="18" spans="1:13" ht="13.5" thickBot="1" x14ac:dyDescent="0.25">
      <c r="A18" s="265">
        <v>8</v>
      </c>
      <c r="B18" s="269" t="s">
        <v>442</v>
      </c>
      <c r="C18" s="266">
        <v>30</v>
      </c>
      <c r="D18" s="266">
        <v>1.34</v>
      </c>
      <c r="E18" s="266">
        <v>3.5000000000000003E-2</v>
      </c>
      <c r="F18" s="266">
        <v>2</v>
      </c>
      <c r="G18" s="266">
        <v>10</v>
      </c>
      <c r="H18" s="268">
        <v>3.5999999999999997E-2</v>
      </c>
      <c r="I18" s="268">
        <v>0.04</v>
      </c>
      <c r="J18" s="270">
        <f t="shared" si="0"/>
        <v>3.4482758620689662E-2</v>
      </c>
      <c r="K18" s="266">
        <v>0.33</v>
      </c>
      <c r="L18" s="266">
        <v>0.39</v>
      </c>
      <c r="M18" s="266">
        <v>0.03</v>
      </c>
    </row>
    <row r="19" spans="1:13" ht="13.5" thickBot="1" x14ac:dyDescent="0.25">
      <c r="A19" s="265">
        <v>9</v>
      </c>
      <c r="B19" s="269" t="s">
        <v>202</v>
      </c>
      <c r="C19" s="266">
        <v>150</v>
      </c>
      <c r="D19" s="266">
        <v>1.34</v>
      </c>
      <c r="E19" s="266">
        <v>0.05</v>
      </c>
      <c r="F19" s="266">
        <v>1</v>
      </c>
      <c r="G19" s="266">
        <v>5</v>
      </c>
      <c r="H19" s="268">
        <v>5.1999999999999998E-2</v>
      </c>
      <c r="I19" s="268">
        <v>0.06</v>
      </c>
      <c r="J19" s="270">
        <f t="shared" si="0"/>
        <v>5.1724137931034482E-2</v>
      </c>
      <c r="K19" s="266">
        <v>0.89</v>
      </c>
      <c r="L19" s="266">
        <v>0.99</v>
      </c>
      <c r="M19" s="266">
        <v>0.05</v>
      </c>
    </row>
    <row r="20" spans="1:13" ht="13.5" thickBot="1" x14ac:dyDescent="0.25">
      <c r="A20" s="265">
        <v>10</v>
      </c>
      <c r="B20" s="266" t="s">
        <v>443</v>
      </c>
      <c r="C20" s="266">
        <v>100</v>
      </c>
      <c r="D20" s="266">
        <v>1.34</v>
      </c>
      <c r="E20" s="266">
        <v>4.1000000000000002E-2</v>
      </c>
      <c r="F20" s="266">
        <v>2</v>
      </c>
      <c r="G20" s="266">
        <v>10</v>
      </c>
      <c r="H20" s="268">
        <v>4.1000000000000002E-2</v>
      </c>
      <c r="I20" s="268">
        <v>5.1999999999999998E-2</v>
      </c>
      <c r="J20" s="270">
        <f t="shared" si="0"/>
        <v>4.4827586206896551E-2</v>
      </c>
      <c r="K20" s="266">
        <v>0.65</v>
      </c>
      <c r="L20" s="266">
        <v>0.82</v>
      </c>
      <c r="M20" s="266">
        <v>0.05</v>
      </c>
    </row>
    <row r="21" spans="1:13" ht="13.5" thickBot="1" x14ac:dyDescent="0.25">
      <c r="A21" s="271">
        <v>11</v>
      </c>
      <c r="B21" s="272" t="s">
        <v>444</v>
      </c>
      <c r="C21" s="273">
        <v>40</v>
      </c>
      <c r="D21" s="273">
        <v>1.34</v>
      </c>
      <c r="E21" s="273">
        <v>3.7999999999999999E-2</v>
      </c>
      <c r="F21" s="273">
        <v>2</v>
      </c>
      <c r="G21" s="273">
        <v>10</v>
      </c>
      <c r="H21" s="274">
        <v>4.1000000000000002E-2</v>
      </c>
      <c r="I21" s="274">
        <v>0.05</v>
      </c>
      <c r="J21" s="270">
        <f t="shared" si="0"/>
        <v>4.3103448275862072E-2</v>
      </c>
      <c r="K21" s="273">
        <v>0.41</v>
      </c>
      <c r="L21" s="273">
        <v>0.49</v>
      </c>
      <c r="M21" s="273">
        <v>0.05</v>
      </c>
    </row>
    <row r="22" spans="1:13" ht="13.5" thickBot="1" x14ac:dyDescent="0.25">
      <c r="A22" s="275">
        <v>12</v>
      </c>
      <c r="B22" s="276" t="s">
        <v>445</v>
      </c>
      <c r="C22" s="267">
        <v>125</v>
      </c>
      <c r="D22" s="267">
        <v>1.26</v>
      </c>
      <c r="E22" s="267">
        <v>5.1999999999999998E-2</v>
      </c>
      <c r="F22" s="267">
        <v>2</v>
      </c>
      <c r="G22" s="267">
        <v>10</v>
      </c>
      <c r="H22" s="277">
        <v>0.06</v>
      </c>
      <c r="I22" s="277">
        <v>6.4000000000000001E-2</v>
      </c>
      <c r="J22" s="270">
        <f t="shared" si="0"/>
        <v>5.5172413793103454E-2</v>
      </c>
      <c r="K22" s="267">
        <v>0.86</v>
      </c>
      <c r="L22" s="267">
        <v>0.99</v>
      </c>
      <c r="M22" s="267">
        <v>0.23</v>
      </c>
    </row>
    <row r="23" spans="1:13" ht="26.25" thickBot="1" x14ac:dyDescent="0.25">
      <c r="A23" s="265">
        <v>13</v>
      </c>
      <c r="B23" s="266" t="s">
        <v>446</v>
      </c>
      <c r="C23" s="266" t="s">
        <v>204</v>
      </c>
      <c r="D23" s="266">
        <v>1.26</v>
      </c>
      <c r="E23" s="266">
        <v>4.1000000000000002E-2</v>
      </c>
      <c r="F23" s="266">
        <v>2</v>
      </c>
      <c r="G23" s="266">
        <v>10</v>
      </c>
      <c r="H23" s="268">
        <v>0.05</v>
      </c>
      <c r="I23" s="268">
        <v>5.1999999999999998E-2</v>
      </c>
      <c r="J23" s="270">
        <f t="shared" si="0"/>
        <v>4.4827586206896551E-2</v>
      </c>
      <c r="K23" s="266">
        <v>6.8000000000000005E-2</v>
      </c>
      <c r="L23" s="266">
        <v>0.8</v>
      </c>
      <c r="M23" s="266">
        <v>0.23</v>
      </c>
    </row>
    <row r="24" spans="1:13" ht="13.5" thickBot="1" x14ac:dyDescent="0.25">
      <c r="A24" s="265">
        <v>14</v>
      </c>
      <c r="B24" s="269" t="s">
        <v>395</v>
      </c>
      <c r="C24" s="266">
        <v>80</v>
      </c>
      <c r="D24" s="266">
        <v>1.47</v>
      </c>
      <c r="E24" s="266">
        <v>4.1000000000000002E-2</v>
      </c>
      <c r="F24" s="266">
        <v>2</v>
      </c>
      <c r="G24" s="266">
        <v>5</v>
      </c>
      <c r="H24" s="268">
        <v>0.05</v>
      </c>
      <c r="I24" s="268">
        <v>0.05</v>
      </c>
      <c r="J24" s="270">
        <f t="shared" si="0"/>
        <v>4.3103448275862072E-2</v>
      </c>
      <c r="K24" s="266">
        <v>0.67</v>
      </c>
      <c r="L24" s="266">
        <v>0.7</v>
      </c>
      <c r="M24" s="266">
        <v>0.05</v>
      </c>
    </row>
    <row r="25" spans="1:13" ht="13.5" thickBot="1" x14ac:dyDescent="0.25">
      <c r="A25" s="265">
        <v>15</v>
      </c>
      <c r="B25" s="266" t="s">
        <v>443</v>
      </c>
      <c r="C25" s="266">
        <v>60</v>
      </c>
      <c r="D25" s="266">
        <v>1.47</v>
      </c>
      <c r="E25" s="266">
        <v>3.5000000000000003E-2</v>
      </c>
      <c r="F25" s="266">
        <v>2</v>
      </c>
      <c r="G25" s="266">
        <v>5</v>
      </c>
      <c r="H25" s="268">
        <v>4.1000000000000002E-2</v>
      </c>
      <c r="I25" s="268">
        <v>4.1000000000000002E-2</v>
      </c>
      <c r="J25" s="270">
        <f t="shared" si="0"/>
        <v>3.5344827586206898E-2</v>
      </c>
      <c r="K25" s="266">
        <v>0.53</v>
      </c>
      <c r="L25" s="266">
        <v>0.55000000000000004</v>
      </c>
      <c r="M25" s="266">
        <v>0.05</v>
      </c>
    </row>
    <row r="26" spans="1:13" ht="13.5" thickBot="1" x14ac:dyDescent="0.25">
      <c r="A26" s="265">
        <v>16</v>
      </c>
      <c r="B26" s="266" t="s">
        <v>443</v>
      </c>
      <c r="C26" s="266">
        <v>40</v>
      </c>
      <c r="D26" s="266">
        <v>1.47</v>
      </c>
      <c r="E26" s="266">
        <v>2.9000000000000001E-2</v>
      </c>
      <c r="F26" s="266">
        <v>2</v>
      </c>
      <c r="G26" s="266">
        <v>5</v>
      </c>
      <c r="H26" s="268">
        <v>0.04</v>
      </c>
      <c r="I26" s="268">
        <v>0.04</v>
      </c>
      <c r="J26" s="270">
        <f t="shared" si="0"/>
        <v>3.4482758620689662E-2</v>
      </c>
      <c r="K26" s="266">
        <v>0.4</v>
      </c>
      <c r="L26" s="266">
        <v>0.42</v>
      </c>
      <c r="M26" s="266">
        <v>0.05</v>
      </c>
    </row>
    <row r="27" spans="1:13" ht="26.25" thickBot="1" x14ac:dyDescent="0.25">
      <c r="A27" s="265">
        <v>17</v>
      </c>
      <c r="B27" s="269" t="s">
        <v>447</v>
      </c>
      <c r="C27" s="266">
        <v>100</v>
      </c>
      <c r="D27" s="266">
        <v>1.68</v>
      </c>
      <c r="E27" s="266">
        <v>4.7E-2</v>
      </c>
      <c r="F27" s="266">
        <v>5</v>
      </c>
      <c r="G27" s="266">
        <v>20</v>
      </c>
      <c r="H27" s="268">
        <v>5.1999999999999998E-2</v>
      </c>
      <c r="I27" s="268">
        <v>7.5999999999999998E-2</v>
      </c>
      <c r="J27" s="270">
        <f t="shared" si="0"/>
        <v>6.5517241379310351E-2</v>
      </c>
      <c r="K27" s="266">
        <v>0.85</v>
      </c>
      <c r="L27" s="266">
        <v>1.18</v>
      </c>
      <c r="M27" s="266">
        <v>0.15</v>
      </c>
    </row>
    <row r="28" spans="1:13" ht="26.25" thickBot="1" x14ac:dyDescent="0.25">
      <c r="A28" s="265">
        <v>18</v>
      </c>
      <c r="B28" s="269" t="s">
        <v>447</v>
      </c>
      <c r="C28" s="266">
        <v>75</v>
      </c>
      <c r="D28" s="266">
        <v>1.68</v>
      </c>
      <c r="E28" s="266">
        <v>4.2999999999999997E-2</v>
      </c>
      <c r="F28" s="266">
        <v>5</v>
      </c>
      <c r="G28" s="266">
        <v>20</v>
      </c>
      <c r="H28" s="268">
        <v>0.05</v>
      </c>
      <c r="I28" s="268">
        <v>7.0000000000000007E-2</v>
      </c>
      <c r="J28" s="270">
        <f t="shared" si="0"/>
        <v>6.0344827586206906E-2</v>
      </c>
      <c r="K28" s="266">
        <v>0.72</v>
      </c>
      <c r="L28" s="266">
        <v>0.98</v>
      </c>
      <c r="M28" s="266">
        <v>0.23</v>
      </c>
    </row>
    <row r="29" spans="1:13" ht="13.5" thickBot="1" x14ac:dyDescent="0.25">
      <c r="A29" s="265">
        <v>19</v>
      </c>
      <c r="B29" s="266" t="s">
        <v>446</v>
      </c>
      <c r="C29" s="266">
        <v>50</v>
      </c>
      <c r="D29" s="266">
        <v>1.68</v>
      </c>
      <c r="E29" s="266">
        <v>4.1000000000000002E-2</v>
      </c>
      <c r="F29" s="266">
        <v>5</v>
      </c>
      <c r="G29" s="266">
        <v>20</v>
      </c>
      <c r="H29" s="268">
        <v>0.05</v>
      </c>
      <c r="I29" s="268">
        <v>6.4000000000000001E-2</v>
      </c>
      <c r="J29" s="270">
        <f t="shared" si="0"/>
        <v>5.5172413793103454E-2</v>
      </c>
      <c r="K29" s="266">
        <v>0.59</v>
      </c>
      <c r="L29" s="266">
        <v>0.77</v>
      </c>
      <c r="M29" s="266">
        <v>0.23</v>
      </c>
    </row>
    <row r="30" spans="1:13" ht="13.5" thickBot="1" x14ac:dyDescent="0.25">
      <c r="A30" s="265">
        <v>20</v>
      </c>
      <c r="B30" s="266" t="s">
        <v>443</v>
      </c>
      <c r="C30" s="266">
        <v>40</v>
      </c>
      <c r="D30" s="266">
        <v>1.68</v>
      </c>
      <c r="E30" s="266">
        <v>3.7999999999999999E-2</v>
      </c>
      <c r="F30" s="266">
        <v>5</v>
      </c>
      <c r="G30" s="266">
        <v>20</v>
      </c>
      <c r="H30" s="268">
        <v>4.1000000000000002E-2</v>
      </c>
      <c r="I30" s="268">
        <v>0.06</v>
      </c>
      <c r="J30" s="270">
        <f t="shared" si="0"/>
        <v>5.1724137931034482E-2</v>
      </c>
      <c r="K30" s="266">
        <v>0.48</v>
      </c>
      <c r="L30" s="266">
        <v>0.66</v>
      </c>
      <c r="M30" s="266">
        <v>0.23</v>
      </c>
    </row>
    <row r="31" spans="1:13" ht="13.5" thickBot="1" x14ac:dyDescent="0.25">
      <c r="A31" s="271">
        <v>21</v>
      </c>
      <c r="B31" s="272" t="s">
        <v>205</v>
      </c>
      <c r="C31" s="273">
        <v>200</v>
      </c>
      <c r="D31" s="273">
        <v>1.05</v>
      </c>
      <c r="E31" s="273">
        <v>4.1000000000000002E-2</v>
      </c>
      <c r="F31" s="273">
        <v>2</v>
      </c>
      <c r="G31" s="273">
        <v>3</v>
      </c>
      <c r="H31" s="274">
        <v>5.1999999999999998E-2</v>
      </c>
      <c r="I31" s="274">
        <v>0.06</v>
      </c>
      <c r="J31" s="270">
        <f t="shared" si="0"/>
        <v>5.1724137931034482E-2</v>
      </c>
      <c r="K31" s="273">
        <v>0.93</v>
      </c>
      <c r="L31" s="273">
        <v>1.01</v>
      </c>
      <c r="M31" s="273">
        <v>8.0000000000000002E-3</v>
      </c>
    </row>
    <row r="32" spans="1:13" ht="13.5" thickBot="1" x14ac:dyDescent="0.25">
      <c r="A32" s="275">
        <v>22</v>
      </c>
      <c r="B32" s="267" t="s">
        <v>443</v>
      </c>
      <c r="C32" s="267">
        <v>100</v>
      </c>
      <c r="D32" s="267">
        <v>1.05</v>
      </c>
      <c r="E32" s="267">
        <v>3.5000000000000003E-2</v>
      </c>
      <c r="F32" s="267">
        <v>2</v>
      </c>
      <c r="G32" s="267">
        <v>3</v>
      </c>
      <c r="H32" s="277">
        <v>4.1000000000000002E-2</v>
      </c>
      <c r="I32" s="277">
        <v>0.05</v>
      </c>
      <c r="J32" s="270">
        <f t="shared" si="0"/>
        <v>4.3103448275862072E-2</v>
      </c>
      <c r="K32" s="267">
        <v>0.57999999999999996</v>
      </c>
      <c r="L32" s="267">
        <v>0.66</v>
      </c>
      <c r="M32" s="267">
        <v>8.0000000000000002E-3</v>
      </c>
    </row>
    <row r="33" spans="1:13" ht="13.5" thickBot="1" x14ac:dyDescent="0.25">
      <c r="A33" s="265">
        <v>23</v>
      </c>
      <c r="B33" s="269" t="s">
        <v>448</v>
      </c>
      <c r="C33" s="266">
        <v>300</v>
      </c>
      <c r="D33" s="266">
        <v>1.05</v>
      </c>
      <c r="E33" s="266">
        <v>7.5999999999999998E-2</v>
      </c>
      <c r="F33" s="266">
        <v>3</v>
      </c>
      <c r="G33" s="266">
        <v>12</v>
      </c>
      <c r="H33" s="268">
        <v>0.08</v>
      </c>
      <c r="I33" s="268">
        <v>0.12</v>
      </c>
      <c r="J33" s="270">
        <f t="shared" si="0"/>
        <v>0.10344827586206896</v>
      </c>
      <c r="K33" s="266">
        <v>1.43</v>
      </c>
      <c r="L33" s="266">
        <v>2.02</v>
      </c>
      <c r="M33" s="266">
        <v>0.2</v>
      </c>
    </row>
    <row r="34" spans="1:13" ht="13.5" thickBot="1" x14ac:dyDescent="0.25">
      <c r="A34" s="265">
        <v>24</v>
      </c>
      <c r="B34" s="266" t="s">
        <v>446</v>
      </c>
      <c r="C34" s="266">
        <v>200</v>
      </c>
      <c r="D34" s="266">
        <v>1.05</v>
      </c>
      <c r="E34" s="266">
        <v>6.4000000000000001E-2</v>
      </c>
      <c r="F34" s="266">
        <v>3</v>
      </c>
      <c r="G34" s="266">
        <v>12</v>
      </c>
      <c r="H34" s="268">
        <v>7.0000000000000007E-2</v>
      </c>
      <c r="I34" s="268">
        <v>0.09</v>
      </c>
      <c r="J34" s="270">
        <f t="shared" si="0"/>
        <v>7.7586206896551727E-2</v>
      </c>
      <c r="K34" s="266">
        <v>1.1000000000000001</v>
      </c>
      <c r="L34" s="266">
        <v>1.43</v>
      </c>
      <c r="M34" s="266">
        <v>0.23</v>
      </c>
    </row>
    <row r="35" spans="1:13" ht="26.25" thickBot="1" x14ac:dyDescent="0.25">
      <c r="A35" s="265">
        <v>25</v>
      </c>
      <c r="B35" s="269" t="s">
        <v>449</v>
      </c>
      <c r="C35" s="266">
        <v>80</v>
      </c>
      <c r="D35" s="266">
        <v>1.806</v>
      </c>
      <c r="E35" s="266">
        <v>3.4000000000000002E-2</v>
      </c>
      <c r="F35" s="266">
        <v>5</v>
      </c>
      <c r="G35" s="266">
        <v>15</v>
      </c>
      <c r="H35" s="268">
        <v>0.04</v>
      </c>
      <c r="I35" s="268">
        <v>5.3999999999999999E-2</v>
      </c>
      <c r="J35" s="270">
        <f t="shared" si="0"/>
        <v>4.6551724137931037E-2</v>
      </c>
      <c r="K35" s="266">
        <v>0.65</v>
      </c>
      <c r="L35" s="266">
        <v>0.71</v>
      </c>
      <c r="M35" s="266">
        <v>3.0000000000000001E-3</v>
      </c>
    </row>
    <row r="36" spans="1:13" ht="13.5" thickBot="1" x14ac:dyDescent="0.25">
      <c r="A36" s="271">
        <v>26</v>
      </c>
      <c r="B36" s="272" t="s">
        <v>450</v>
      </c>
      <c r="C36" s="273"/>
      <c r="D36" s="273"/>
      <c r="E36" s="273"/>
      <c r="F36" s="273"/>
      <c r="G36" s="273"/>
      <c r="H36" s="274"/>
      <c r="I36" s="274"/>
      <c r="J36" s="270">
        <f t="shared" si="0"/>
        <v>0</v>
      </c>
      <c r="K36" s="273"/>
      <c r="L36" s="273"/>
      <c r="M36" s="273"/>
    </row>
    <row r="37" spans="1:13" ht="13.5" thickBot="1" x14ac:dyDescent="0.25">
      <c r="A37" s="271"/>
      <c r="B37" s="272" t="s">
        <v>451</v>
      </c>
      <c r="C37" s="273" t="s">
        <v>452</v>
      </c>
      <c r="D37" s="273">
        <v>1.806</v>
      </c>
      <c r="E37" s="273">
        <v>3.9E-2</v>
      </c>
      <c r="F37" s="273">
        <v>0</v>
      </c>
      <c r="G37" s="273">
        <v>0</v>
      </c>
      <c r="H37" s="274">
        <v>3.9E-2</v>
      </c>
      <c r="I37" s="274">
        <v>3.9E-2</v>
      </c>
      <c r="J37" s="270">
        <f t="shared" si="0"/>
        <v>3.3620689655172419E-2</v>
      </c>
      <c r="K37" s="273">
        <v>0.6</v>
      </c>
      <c r="L37" s="273">
        <v>0.6</v>
      </c>
      <c r="M37" s="273">
        <v>0.01</v>
      </c>
    </row>
    <row r="38" spans="1:13" ht="13.5" thickBot="1" x14ac:dyDescent="0.25">
      <c r="A38" s="271"/>
      <c r="B38" s="272" t="s">
        <v>453</v>
      </c>
      <c r="C38" s="273" t="s">
        <v>452</v>
      </c>
      <c r="D38" s="273">
        <v>1.806</v>
      </c>
      <c r="E38" s="273">
        <v>3.9E-2</v>
      </c>
      <c r="F38" s="273">
        <v>0</v>
      </c>
      <c r="G38" s="273">
        <v>0</v>
      </c>
      <c r="H38" s="274">
        <v>3.9E-2</v>
      </c>
      <c r="I38" s="274">
        <v>3.9E-2</v>
      </c>
      <c r="J38" s="270">
        <f t="shared" si="0"/>
        <v>3.3620689655172419E-2</v>
      </c>
      <c r="K38" s="273">
        <v>0.6</v>
      </c>
      <c r="L38" s="273">
        <v>0.6</v>
      </c>
      <c r="M38" s="273">
        <v>8.9999999999999993E-3</v>
      </c>
    </row>
    <row r="39" spans="1:13" ht="13.5" thickBot="1" x14ac:dyDescent="0.25">
      <c r="A39" s="265"/>
      <c r="B39" s="269" t="s">
        <v>454</v>
      </c>
      <c r="C39" s="266" t="s">
        <v>455</v>
      </c>
      <c r="D39" s="266">
        <v>1.806</v>
      </c>
      <c r="E39" s="266">
        <v>4.1000000000000002E-2</v>
      </c>
      <c r="F39" s="266">
        <v>0</v>
      </c>
      <c r="G39" s="266">
        <v>0</v>
      </c>
      <c r="H39" s="268">
        <v>4.1000000000000002E-2</v>
      </c>
      <c r="I39" s="268">
        <v>4.1000000000000002E-2</v>
      </c>
      <c r="J39" s="270">
        <f t="shared" si="0"/>
        <v>3.5344827586206898E-2</v>
      </c>
      <c r="K39" s="266">
        <v>0.65</v>
      </c>
      <c r="L39" s="266">
        <v>0.65</v>
      </c>
      <c r="M39" s="266">
        <v>0.01</v>
      </c>
    </row>
    <row r="40" spans="1:13" ht="26.25" thickBot="1" x14ac:dyDescent="0.25">
      <c r="A40" s="265">
        <v>27</v>
      </c>
      <c r="B40" s="269" t="s">
        <v>456</v>
      </c>
      <c r="C40" s="266">
        <v>35</v>
      </c>
      <c r="D40" s="266">
        <v>1.65</v>
      </c>
      <c r="E40" s="266">
        <v>2.8000000000000001E-2</v>
      </c>
      <c r="F40" s="266">
        <v>2</v>
      </c>
      <c r="G40" s="266">
        <v>3</v>
      </c>
      <c r="H40" s="268">
        <v>2.9000000000000001E-2</v>
      </c>
      <c r="I40" s="268">
        <v>0.03</v>
      </c>
      <c r="J40" s="270">
        <f t="shared" si="0"/>
        <v>2.5862068965517241E-2</v>
      </c>
      <c r="K40" s="266">
        <v>0.36</v>
      </c>
      <c r="L40" s="266">
        <v>0.37</v>
      </c>
      <c r="M40" s="266">
        <v>1.7999999999999999E-2</v>
      </c>
    </row>
    <row r="41" spans="1:13" ht="13.5" thickBot="1" x14ac:dyDescent="0.25">
      <c r="A41" s="265">
        <v>28</v>
      </c>
      <c r="B41" s="269" t="s">
        <v>457</v>
      </c>
      <c r="C41" s="266">
        <v>45</v>
      </c>
      <c r="D41" s="266">
        <v>1.53</v>
      </c>
      <c r="E41" s="266">
        <v>0.03</v>
      </c>
      <c r="F41" s="266">
        <v>2</v>
      </c>
      <c r="G41" s="266">
        <v>3</v>
      </c>
      <c r="H41" s="268">
        <v>3.1E-2</v>
      </c>
      <c r="I41" s="268">
        <v>3.2000000000000001E-2</v>
      </c>
      <c r="J41" s="270">
        <f t="shared" si="0"/>
        <v>2.7586206896551727E-2</v>
      </c>
      <c r="K41" s="266">
        <v>0.4</v>
      </c>
      <c r="L41" s="266">
        <v>0.42</v>
      </c>
      <c r="M41" s="266">
        <v>1.4999999999999999E-2</v>
      </c>
    </row>
    <row r="42" spans="1:13" ht="13.5" thickBot="1" x14ac:dyDescent="0.25">
      <c r="A42" s="431" t="s">
        <v>458</v>
      </c>
      <c r="B42" s="432"/>
      <c r="C42" s="432"/>
      <c r="D42" s="432"/>
      <c r="E42" s="432"/>
      <c r="F42" s="432"/>
      <c r="G42" s="432"/>
      <c r="H42" s="432"/>
      <c r="I42" s="432"/>
      <c r="J42" s="432"/>
      <c r="K42" s="432"/>
      <c r="L42" s="432"/>
      <c r="M42" s="433"/>
    </row>
    <row r="43" spans="1:13" ht="39" thickBot="1" x14ac:dyDescent="0.25">
      <c r="A43" s="265">
        <v>29</v>
      </c>
      <c r="B43" s="269" t="s">
        <v>459</v>
      </c>
      <c r="C43" s="266">
        <v>125</v>
      </c>
      <c r="D43" s="266">
        <v>0.84</v>
      </c>
      <c r="E43" s="266">
        <v>5.6000000000000001E-2</v>
      </c>
      <c r="F43" s="266">
        <v>2</v>
      </c>
      <c r="G43" s="266">
        <v>5</v>
      </c>
      <c r="H43" s="268">
        <v>6.4000000000000001E-2</v>
      </c>
      <c r="I43" s="268">
        <v>7.0000000000000007E-2</v>
      </c>
      <c r="J43" s="270">
        <f t="shared" ref="J43:J58" si="1">I43/1.16</f>
        <v>6.0344827586206906E-2</v>
      </c>
      <c r="K43" s="266">
        <v>0.73</v>
      </c>
      <c r="L43" s="266">
        <v>0.82</v>
      </c>
      <c r="M43" s="266">
        <v>0.3</v>
      </c>
    </row>
    <row r="44" spans="1:13" ht="13.5" thickBot="1" x14ac:dyDescent="0.25">
      <c r="A44" s="265">
        <v>30</v>
      </c>
      <c r="B44" s="266" t="s">
        <v>446</v>
      </c>
      <c r="C44" s="266">
        <v>75</v>
      </c>
      <c r="D44" s="266">
        <v>0.84</v>
      </c>
      <c r="E44" s="266">
        <v>5.1999999999999998E-2</v>
      </c>
      <c r="F44" s="266">
        <v>2</v>
      </c>
      <c r="G44" s="266">
        <v>5</v>
      </c>
      <c r="H44" s="268">
        <v>0.06</v>
      </c>
      <c r="I44" s="268">
        <v>6.4000000000000001E-2</v>
      </c>
      <c r="J44" s="270">
        <f t="shared" si="1"/>
        <v>5.5172413793103454E-2</v>
      </c>
      <c r="K44" s="266">
        <v>0.55000000000000004</v>
      </c>
      <c r="L44" s="266">
        <v>0.61</v>
      </c>
      <c r="M44" s="266">
        <v>0.49</v>
      </c>
    </row>
    <row r="45" spans="1:13" ht="13.5" thickBot="1" x14ac:dyDescent="0.25">
      <c r="A45" s="265">
        <v>31</v>
      </c>
      <c r="B45" s="266" t="s">
        <v>443</v>
      </c>
      <c r="C45" s="266">
        <v>50</v>
      </c>
      <c r="D45" s="266">
        <v>0.84</v>
      </c>
      <c r="E45" s="266">
        <v>4.8000000000000001E-2</v>
      </c>
      <c r="F45" s="266">
        <v>2</v>
      </c>
      <c r="G45" s="266">
        <v>5</v>
      </c>
      <c r="H45" s="268">
        <v>5.1999999999999998E-2</v>
      </c>
      <c r="I45" s="268">
        <v>0.06</v>
      </c>
      <c r="J45" s="270">
        <f t="shared" si="1"/>
        <v>5.1724137931034482E-2</v>
      </c>
      <c r="K45" s="266">
        <v>0.42</v>
      </c>
      <c r="L45" s="266">
        <v>0.48</v>
      </c>
      <c r="M45" s="266">
        <v>0.53</v>
      </c>
    </row>
    <row r="46" spans="1:13" ht="51.75" thickBot="1" x14ac:dyDescent="0.25">
      <c r="A46" s="265">
        <v>32</v>
      </c>
      <c r="B46" s="269" t="s">
        <v>460</v>
      </c>
      <c r="C46" s="266">
        <v>350</v>
      </c>
      <c r="D46" s="266">
        <v>0.84</v>
      </c>
      <c r="E46" s="266">
        <v>9.0999999999999998E-2</v>
      </c>
      <c r="F46" s="266">
        <v>2</v>
      </c>
      <c r="G46" s="266">
        <v>5</v>
      </c>
      <c r="H46" s="268">
        <v>0.09</v>
      </c>
      <c r="I46" s="268">
        <v>0.11</v>
      </c>
      <c r="J46" s="270">
        <f t="shared" si="1"/>
        <v>9.4827586206896561E-2</v>
      </c>
      <c r="K46" s="266">
        <v>1.46</v>
      </c>
      <c r="L46" s="266">
        <v>1.72</v>
      </c>
      <c r="M46" s="266">
        <v>0.38</v>
      </c>
    </row>
    <row r="47" spans="1:13" ht="13.5" thickBot="1" x14ac:dyDescent="0.25">
      <c r="A47" s="265">
        <v>33</v>
      </c>
      <c r="B47" s="266" t="s">
        <v>446</v>
      </c>
      <c r="C47" s="266">
        <v>300</v>
      </c>
      <c r="D47" s="266">
        <v>0.84</v>
      </c>
      <c r="E47" s="266">
        <v>8.4000000000000005E-2</v>
      </c>
      <c r="F47" s="266">
        <v>2</v>
      </c>
      <c r="G47" s="266">
        <v>5</v>
      </c>
      <c r="H47" s="268">
        <v>8.6999999999999994E-2</v>
      </c>
      <c r="I47" s="268">
        <v>0.09</v>
      </c>
      <c r="J47" s="270">
        <f t="shared" si="1"/>
        <v>7.7586206896551727E-2</v>
      </c>
      <c r="K47" s="266">
        <v>1.32</v>
      </c>
      <c r="L47" s="266">
        <v>1.44</v>
      </c>
      <c r="M47" s="266">
        <v>0.41</v>
      </c>
    </row>
    <row r="48" spans="1:13" ht="13.5" thickBot="1" x14ac:dyDescent="0.25">
      <c r="A48" s="265">
        <v>34</v>
      </c>
      <c r="B48" s="266" t="s">
        <v>443</v>
      </c>
      <c r="C48" s="266">
        <v>200</v>
      </c>
      <c r="D48" s="266">
        <v>0.84</v>
      </c>
      <c r="E48" s="266">
        <v>7.0000000000000007E-2</v>
      </c>
      <c r="F48" s="266">
        <v>2</v>
      </c>
      <c r="G48" s="266">
        <v>5</v>
      </c>
      <c r="H48" s="268">
        <v>7.5999999999999998E-2</v>
      </c>
      <c r="I48" s="268">
        <v>0.08</v>
      </c>
      <c r="J48" s="270">
        <f t="shared" si="1"/>
        <v>6.8965517241379323E-2</v>
      </c>
      <c r="K48" s="266">
        <v>1.01</v>
      </c>
      <c r="L48" s="266">
        <v>1.1100000000000001</v>
      </c>
      <c r="M48" s="266">
        <v>0.49</v>
      </c>
    </row>
    <row r="49" spans="1:13" ht="13.5" thickBot="1" x14ac:dyDescent="0.25">
      <c r="A49" s="265">
        <v>35</v>
      </c>
      <c r="B49" s="266" t="s">
        <v>443</v>
      </c>
      <c r="C49" s="266">
        <v>100</v>
      </c>
      <c r="D49" s="266">
        <v>0.84</v>
      </c>
      <c r="E49" s="266">
        <v>5.6000000000000001E-2</v>
      </c>
      <c r="F49" s="266">
        <v>2</v>
      </c>
      <c r="G49" s="266">
        <v>5</v>
      </c>
      <c r="H49" s="268">
        <v>0.06</v>
      </c>
      <c r="I49" s="268">
        <v>7.0000000000000007E-2</v>
      </c>
      <c r="J49" s="270">
        <f t="shared" si="1"/>
        <v>6.0344827586206906E-2</v>
      </c>
      <c r="K49" s="266">
        <v>0.64</v>
      </c>
      <c r="L49" s="266">
        <v>0.73</v>
      </c>
      <c r="M49" s="266">
        <v>0.56000000000000005</v>
      </c>
    </row>
    <row r="50" spans="1:13" ht="13.5" thickBot="1" x14ac:dyDescent="0.25">
      <c r="A50" s="265">
        <v>36</v>
      </c>
      <c r="B50" s="266" t="s">
        <v>443</v>
      </c>
      <c r="C50" s="266">
        <v>50</v>
      </c>
      <c r="D50" s="266">
        <v>0.84</v>
      </c>
      <c r="E50" s="266">
        <v>4.8000000000000001E-2</v>
      </c>
      <c r="F50" s="266">
        <v>2</v>
      </c>
      <c r="G50" s="266">
        <v>5</v>
      </c>
      <c r="H50" s="268">
        <v>5.1999999999999998E-2</v>
      </c>
      <c r="I50" s="268">
        <v>0.06</v>
      </c>
      <c r="J50" s="270">
        <f t="shared" si="1"/>
        <v>5.1724137931034482E-2</v>
      </c>
      <c r="K50" s="266">
        <v>0.42</v>
      </c>
      <c r="L50" s="266">
        <v>0.48</v>
      </c>
      <c r="M50" s="266">
        <v>0.6</v>
      </c>
    </row>
    <row r="51" spans="1:13" ht="26.25" thickBot="1" x14ac:dyDescent="0.25">
      <c r="A51" s="265">
        <v>37</v>
      </c>
      <c r="B51" s="272" t="s">
        <v>461</v>
      </c>
      <c r="C51" s="273">
        <v>200</v>
      </c>
      <c r="D51" s="273">
        <v>0.84</v>
      </c>
      <c r="E51" s="273">
        <v>6.4000000000000001E-2</v>
      </c>
      <c r="F51" s="273">
        <v>1</v>
      </c>
      <c r="G51" s="273">
        <v>2</v>
      </c>
      <c r="H51" s="274">
        <v>7.0000000000000007E-2</v>
      </c>
      <c r="I51" s="274">
        <v>7.5999999999999998E-2</v>
      </c>
      <c r="J51" s="270">
        <f t="shared" si="1"/>
        <v>6.5517241379310351E-2</v>
      </c>
      <c r="K51" s="273">
        <v>0.94</v>
      </c>
      <c r="L51" s="273">
        <v>1.01</v>
      </c>
      <c r="M51" s="273">
        <v>0.45</v>
      </c>
    </row>
    <row r="52" spans="1:13" ht="26.25" thickBot="1" x14ac:dyDescent="0.25">
      <c r="A52" s="265">
        <v>38</v>
      </c>
      <c r="B52" s="276" t="s">
        <v>462</v>
      </c>
      <c r="C52" s="267">
        <v>200</v>
      </c>
      <c r="D52" s="267">
        <v>0.84</v>
      </c>
      <c r="E52" s="267">
        <v>7.0000000000000007E-2</v>
      </c>
      <c r="F52" s="267">
        <v>2</v>
      </c>
      <c r="G52" s="267">
        <v>5</v>
      </c>
      <c r="H52" s="277">
        <v>7.5999999999999998E-2</v>
      </c>
      <c r="I52" s="277">
        <v>0.08</v>
      </c>
      <c r="J52" s="270">
        <f t="shared" si="1"/>
        <v>6.8965517241379323E-2</v>
      </c>
      <c r="K52" s="267">
        <v>1.01</v>
      </c>
      <c r="L52" s="267">
        <v>1.1100000000000001</v>
      </c>
      <c r="M52" s="267">
        <v>0.38</v>
      </c>
    </row>
    <row r="53" spans="1:13" ht="13.5" thickBot="1" x14ac:dyDescent="0.25">
      <c r="A53" s="265">
        <v>39</v>
      </c>
      <c r="B53" s="266" t="s">
        <v>446</v>
      </c>
      <c r="C53" s="266">
        <v>125</v>
      </c>
      <c r="D53" s="266">
        <v>0.84</v>
      </c>
      <c r="E53" s="266">
        <v>5.6000000000000001E-2</v>
      </c>
      <c r="F53" s="266">
        <v>2</v>
      </c>
      <c r="G53" s="266">
        <v>5</v>
      </c>
      <c r="H53" s="268">
        <v>0.06</v>
      </c>
      <c r="I53" s="268">
        <v>6.4000000000000001E-2</v>
      </c>
      <c r="J53" s="270">
        <f t="shared" si="1"/>
        <v>5.5172413793103454E-2</v>
      </c>
      <c r="K53" s="266">
        <v>0.7</v>
      </c>
      <c r="L53" s="266">
        <v>0.78</v>
      </c>
      <c r="M53" s="266">
        <v>0.38</v>
      </c>
    </row>
    <row r="54" spans="1:13" ht="26.25" thickBot="1" x14ac:dyDescent="0.25">
      <c r="A54" s="265">
        <v>40</v>
      </c>
      <c r="B54" s="269" t="s">
        <v>463</v>
      </c>
      <c r="C54" s="266">
        <v>50</v>
      </c>
      <c r="D54" s="266">
        <v>0.84</v>
      </c>
      <c r="E54" s="266">
        <v>5.6000000000000001E-2</v>
      </c>
      <c r="F54" s="266">
        <v>2</v>
      </c>
      <c r="G54" s="266">
        <v>5</v>
      </c>
      <c r="H54" s="268">
        <v>0.06</v>
      </c>
      <c r="I54" s="268">
        <v>6.4000000000000001E-2</v>
      </c>
      <c r="J54" s="270">
        <f t="shared" si="1"/>
        <v>5.5172413793103454E-2</v>
      </c>
      <c r="K54" s="266">
        <v>0.44</v>
      </c>
      <c r="L54" s="266">
        <v>0.5</v>
      </c>
      <c r="M54" s="266">
        <v>0.6</v>
      </c>
    </row>
    <row r="55" spans="1:13" ht="26.25" thickBot="1" x14ac:dyDescent="0.25">
      <c r="A55" s="265">
        <v>41</v>
      </c>
      <c r="B55" s="269" t="s">
        <v>464</v>
      </c>
      <c r="C55" s="266">
        <v>150</v>
      </c>
      <c r="D55" s="266">
        <v>0.84</v>
      </c>
      <c r="E55" s="266">
        <v>6.0999999999999999E-2</v>
      </c>
      <c r="F55" s="266">
        <v>2</v>
      </c>
      <c r="G55" s="266">
        <v>5</v>
      </c>
      <c r="H55" s="268">
        <v>6.4000000000000001E-2</v>
      </c>
      <c r="I55" s="268">
        <v>7.0000000000000007E-2</v>
      </c>
      <c r="J55" s="270">
        <f t="shared" si="1"/>
        <v>6.0344827586206906E-2</v>
      </c>
      <c r="K55" s="266">
        <v>0.8</v>
      </c>
      <c r="L55" s="266">
        <v>0.9</v>
      </c>
      <c r="M55" s="266">
        <v>0.53</v>
      </c>
    </row>
    <row r="56" spans="1:13" ht="13.5" thickBot="1" x14ac:dyDescent="0.25">
      <c r="A56" s="265">
        <v>42</v>
      </c>
      <c r="B56" s="269" t="s">
        <v>465</v>
      </c>
      <c r="C56" s="266">
        <v>400</v>
      </c>
      <c r="D56" s="266">
        <v>0.84</v>
      </c>
      <c r="E56" s="266">
        <v>0.11</v>
      </c>
      <c r="F56" s="266">
        <v>1</v>
      </c>
      <c r="G56" s="266">
        <v>2</v>
      </c>
      <c r="H56" s="268">
        <v>0.12</v>
      </c>
      <c r="I56" s="268">
        <v>0.14000000000000001</v>
      </c>
      <c r="J56" s="270">
        <f t="shared" si="1"/>
        <v>0.12068965517241381</v>
      </c>
      <c r="K56" s="266">
        <v>1.76</v>
      </c>
      <c r="L56" s="266">
        <v>1.94</v>
      </c>
      <c r="M56" s="266">
        <v>0.02</v>
      </c>
    </row>
    <row r="57" spans="1:13" ht="13.5" thickBot="1" x14ac:dyDescent="0.25">
      <c r="A57" s="265">
        <v>43</v>
      </c>
      <c r="B57" s="266" t="s">
        <v>446</v>
      </c>
      <c r="C57" s="266">
        <v>300</v>
      </c>
      <c r="D57" s="266">
        <v>0.84</v>
      </c>
      <c r="E57" s="266">
        <v>0.09</v>
      </c>
      <c r="F57" s="266">
        <v>1</v>
      </c>
      <c r="G57" s="266">
        <v>2</v>
      </c>
      <c r="H57" s="268">
        <v>0.11</v>
      </c>
      <c r="I57" s="268">
        <v>0.12</v>
      </c>
      <c r="J57" s="270">
        <f t="shared" si="1"/>
        <v>0.10344827586206896</v>
      </c>
      <c r="K57" s="266">
        <v>1.46</v>
      </c>
      <c r="L57" s="266">
        <v>1.56</v>
      </c>
      <c r="M57" s="266">
        <v>0.02</v>
      </c>
    </row>
    <row r="58" spans="1:13" ht="13.5" thickBot="1" x14ac:dyDescent="0.25">
      <c r="A58" s="265">
        <v>44</v>
      </c>
      <c r="B58" s="266" t="s">
        <v>443</v>
      </c>
      <c r="C58" s="266">
        <v>200</v>
      </c>
      <c r="D58" s="266">
        <v>0.84</v>
      </c>
      <c r="E58" s="266">
        <v>7.0000000000000007E-2</v>
      </c>
      <c r="F58" s="266">
        <v>1</v>
      </c>
      <c r="G58" s="266">
        <v>2</v>
      </c>
      <c r="H58" s="268">
        <v>0.08</v>
      </c>
      <c r="I58" s="268">
        <v>0.09</v>
      </c>
      <c r="J58" s="270">
        <f t="shared" si="1"/>
        <v>7.7586206896551727E-2</v>
      </c>
      <c r="K58" s="266">
        <v>1.01</v>
      </c>
      <c r="L58" s="266">
        <v>1.1000000000000001</v>
      </c>
      <c r="M58" s="266">
        <v>0.03</v>
      </c>
    </row>
    <row r="59" spans="1:13" ht="13.5" thickBot="1" x14ac:dyDescent="0.25">
      <c r="A59" s="431" t="s">
        <v>554</v>
      </c>
      <c r="B59" s="432"/>
      <c r="C59" s="432"/>
      <c r="D59" s="432"/>
      <c r="E59" s="432"/>
      <c r="F59" s="432"/>
      <c r="G59" s="432"/>
      <c r="H59" s="432"/>
      <c r="I59" s="432"/>
      <c r="J59" s="432"/>
      <c r="K59" s="432"/>
      <c r="L59" s="432"/>
      <c r="M59" s="433"/>
    </row>
    <row r="60" spans="1:13" ht="13.5" thickBot="1" x14ac:dyDescent="0.25">
      <c r="A60" s="437">
        <v>45</v>
      </c>
      <c r="B60" s="272" t="s">
        <v>466</v>
      </c>
      <c r="C60" s="437">
        <v>1000</v>
      </c>
      <c r="D60" s="437">
        <v>2.2999999999999998</v>
      </c>
      <c r="E60" s="437">
        <v>0.15</v>
      </c>
      <c r="F60" s="437">
        <v>10</v>
      </c>
      <c r="G60" s="437">
        <v>12</v>
      </c>
      <c r="H60" s="441">
        <v>0.23</v>
      </c>
      <c r="I60" s="441">
        <v>0.28999999999999998</v>
      </c>
      <c r="J60" s="278">
        <f>I60/1.16</f>
        <v>0.25</v>
      </c>
      <c r="K60" s="437">
        <v>6.75</v>
      </c>
      <c r="L60" s="437">
        <v>7.7</v>
      </c>
      <c r="M60" s="437">
        <v>0.12</v>
      </c>
    </row>
    <row r="61" spans="1:13" ht="26.25" thickBot="1" x14ac:dyDescent="0.25">
      <c r="A61" s="438"/>
      <c r="B61" s="269" t="s">
        <v>467</v>
      </c>
      <c r="C61" s="438"/>
      <c r="D61" s="438"/>
      <c r="E61" s="438"/>
      <c r="F61" s="438"/>
      <c r="G61" s="438"/>
      <c r="H61" s="442"/>
      <c r="I61" s="442"/>
      <c r="J61" s="279"/>
      <c r="K61" s="438"/>
      <c r="L61" s="438"/>
      <c r="M61" s="438"/>
    </row>
    <row r="62" spans="1:13" ht="13.5" thickBot="1" x14ac:dyDescent="0.25">
      <c r="A62" s="265">
        <v>46</v>
      </c>
      <c r="B62" s="266" t="s">
        <v>446</v>
      </c>
      <c r="C62" s="266">
        <v>800</v>
      </c>
      <c r="D62" s="266">
        <v>2.2999999999999998</v>
      </c>
      <c r="E62" s="266">
        <v>0.13</v>
      </c>
      <c r="F62" s="266">
        <v>10</v>
      </c>
      <c r="G62" s="266">
        <v>12</v>
      </c>
      <c r="H62" s="280">
        <v>0.19</v>
      </c>
      <c r="I62" s="280">
        <v>0.23</v>
      </c>
      <c r="J62" s="278">
        <f t="shared" ref="J62:J79" si="2">I62/1.16</f>
        <v>0.19827586206896555</v>
      </c>
      <c r="K62" s="266">
        <v>5.49</v>
      </c>
      <c r="L62" s="266">
        <v>6.13</v>
      </c>
      <c r="M62" s="266">
        <v>0.12</v>
      </c>
    </row>
    <row r="63" spans="1:13" ht="13.5" thickBot="1" x14ac:dyDescent="0.25">
      <c r="A63" s="265">
        <v>47</v>
      </c>
      <c r="B63" s="266" t="s">
        <v>443</v>
      </c>
      <c r="C63" s="266">
        <v>600</v>
      </c>
      <c r="D63" s="266">
        <v>2.2999999999999998</v>
      </c>
      <c r="E63" s="266">
        <v>0.11</v>
      </c>
      <c r="F63" s="266">
        <v>10</v>
      </c>
      <c r="G63" s="266">
        <v>12</v>
      </c>
      <c r="H63" s="280">
        <v>0.13</v>
      </c>
      <c r="I63" s="280">
        <v>0.16</v>
      </c>
      <c r="J63" s="278">
        <f t="shared" si="2"/>
        <v>0.13793103448275865</v>
      </c>
      <c r="K63" s="266">
        <v>3.93</v>
      </c>
      <c r="L63" s="266">
        <v>4.43</v>
      </c>
      <c r="M63" s="266">
        <v>0.13</v>
      </c>
    </row>
    <row r="64" spans="1:13" ht="13.5" thickBot="1" x14ac:dyDescent="0.25">
      <c r="A64" s="265">
        <v>48</v>
      </c>
      <c r="B64" s="266" t="s">
        <v>443</v>
      </c>
      <c r="C64" s="266">
        <v>400</v>
      </c>
      <c r="D64" s="266">
        <v>2.2999999999999998</v>
      </c>
      <c r="E64" s="266">
        <v>0.08</v>
      </c>
      <c r="F64" s="266">
        <v>10</v>
      </c>
      <c r="G64" s="266">
        <v>12</v>
      </c>
      <c r="H64" s="280">
        <v>0.11</v>
      </c>
      <c r="I64" s="280">
        <v>0.13</v>
      </c>
      <c r="J64" s="278">
        <f t="shared" si="2"/>
        <v>0.1120689655172414</v>
      </c>
      <c r="K64" s="266">
        <v>2.95</v>
      </c>
      <c r="L64" s="266">
        <v>3.26</v>
      </c>
      <c r="M64" s="266">
        <v>0.19</v>
      </c>
    </row>
    <row r="65" spans="1:13" ht="13.5" thickBot="1" x14ac:dyDescent="0.25">
      <c r="A65" s="265">
        <v>49</v>
      </c>
      <c r="B65" s="266" t="s">
        <v>443</v>
      </c>
      <c r="C65" s="266">
        <v>200</v>
      </c>
      <c r="D65" s="266">
        <v>2.2999999999999998</v>
      </c>
      <c r="E65" s="266">
        <v>0.06</v>
      </c>
      <c r="F65" s="266">
        <v>10</v>
      </c>
      <c r="G65" s="266">
        <v>12</v>
      </c>
      <c r="H65" s="280">
        <v>7.0000000000000007E-2</v>
      </c>
      <c r="I65" s="280">
        <v>0.08</v>
      </c>
      <c r="J65" s="278">
        <f t="shared" si="2"/>
        <v>6.8965517241379323E-2</v>
      </c>
      <c r="K65" s="266">
        <v>1.67</v>
      </c>
      <c r="L65" s="266">
        <v>1.81</v>
      </c>
      <c r="M65" s="266">
        <v>0.24</v>
      </c>
    </row>
    <row r="66" spans="1:13" ht="26.25" thickBot="1" x14ac:dyDescent="0.25">
      <c r="A66" s="265">
        <v>50</v>
      </c>
      <c r="B66" s="269" t="s">
        <v>468</v>
      </c>
      <c r="C66" s="266">
        <v>800</v>
      </c>
      <c r="D66" s="266">
        <v>2.2999999999999998</v>
      </c>
      <c r="E66" s="266">
        <v>0.16</v>
      </c>
      <c r="F66" s="266">
        <v>10</v>
      </c>
      <c r="G66" s="266">
        <v>15</v>
      </c>
      <c r="H66" s="280">
        <v>0.24</v>
      </c>
      <c r="I66" s="280">
        <v>0.3</v>
      </c>
      <c r="J66" s="278">
        <f t="shared" si="2"/>
        <v>0.25862068965517243</v>
      </c>
      <c r="K66" s="266">
        <v>6.17</v>
      </c>
      <c r="L66" s="266">
        <v>7.16</v>
      </c>
      <c r="M66" s="266">
        <v>0.11</v>
      </c>
    </row>
    <row r="67" spans="1:13" ht="13.5" thickBot="1" x14ac:dyDescent="0.25">
      <c r="A67" s="265">
        <v>51</v>
      </c>
      <c r="B67" s="266" t="s">
        <v>446</v>
      </c>
      <c r="C67" s="266">
        <v>600</v>
      </c>
      <c r="D67" s="266">
        <v>2.2999999999999998</v>
      </c>
      <c r="E67" s="266">
        <v>0.12</v>
      </c>
      <c r="F67" s="266">
        <v>10</v>
      </c>
      <c r="G67" s="266">
        <v>15</v>
      </c>
      <c r="H67" s="280">
        <v>0.18</v>
      </c>
      <c r="I67" s="280">
        <v>0.23</v>
      </c>
      <c r="J67" s="278">
        <f t="shared" si="2"/>
        <v>0.19827586206896555</v>
      </c>
      <c r="K67" s="266">
        <v>4.63</v>
      </c>
      <c r="L67" s="266">
        <v>5.43</v>
      </c>
      <c r="M67" s="266">
        <v>0.11</v>
      </c>
    </row>
    <row r="68" spans="1:13" ht="13.5" thickBot="1" x14ac:dyDescent="0.25">
      <c r="A68" s="265">
        <v>52</v>
      </c>
      <c r="B68" s="266" t="s">
        <v>443</v>
      </c>
      <c r="C68" s="266">
        <v>400</v>
      </c>
      <c r="D68" s="266">
        <v>2.2999999999999998</v>
      </c>
      <c r="E68" s="266">
        <v>0.08</v>
      </c>
      <c r="F68" s="266">
        <v>10</v>
      </c>
      <c r="G68" s="266">
        <v>15</v>
      </c>
      <c r="H68" s="280">
        <v>0.13</v>
      </c>
      <c r="I68" s="280">
        <v>0.16</v>
      </c>
      <c r="J68" s="278">
        <f t="shared" si="2"/>
        <v>0.13793103448275865</v>
      </c>
      <c r="K68" s="266">
        <v>3.21</v>
      </c>
      <c r="L68" s="266">
        <v>3.7</v>
      </c>
      <c r="M68" s="266">
        <v>0.26</v>
      </c>
    </row>
    <row r="69" spans="1:13" ht="13.5" thickBot="1" x14ac:dyDescent="0.25">
      <c r="A69" s="265">
        <v>53</v>
      </c>
      <c r="B69" s="266" t="s">
        <v>443</v>
      </c>
      <c r="C69" s="266">
        <v>300</v>
      </c>
      <c r="D69" s="266">
        <v>2.2999999999999998</v>
      </c>
      <c r="E69" s="266">
        <v>7.0000000000000007E-2</v>
      </c>
      <c r="F69" s="266">
        <v>10</v>
      </c>
      <c r="G69" s="266">
        <v>15</v>
      </c>
      <c r="H69" s="280">
        <v>0.11</v>
      </c>
      <c r="I69" s="280">
        <v>0.14000000000000001</v>
      </c>
      <c r="J69" s="278">
        <f t="shared" si="2"/>
        <v>0.12068965517241381</v>
      </c>
      <c r="K69" s="266">
        <v>2.56</v>
      </c>
      <c r="L69" s="266">
        <v>2.99</v>
      </c>
      <c r="M69" s="266">
        <v>0.3</v>
      </c>
    </row>
    <row r="70" spans="1:13" ht="13.5" thickBot="1" x14ac:dyDescent="0.25">
      <c r="A70" s="265">
        <v>54</v>
      </c>
      <c r="B70" s="269" t="s">
        <v>469</v>
      </c>
      <c r="C70" s="266">
        <v>300</v>
      </c>
      <c r="D70" s="266">
        <v>2.2999999999999998</v>
      </c>
      <c r="E70" s="266">
        <v>7.0000000000000007E-2</v>
      </c>
      <c r="F70" s="266">
        <v>10</v>
      </c>
      <c r="G70" s="266">
        <v>15</v>
      </c>
      <c r="H70" s="280">
        <v>0.09</v>
      </c>
      <c r="I70" s="280">
        <v>0.14000000000000001</v>
      </c>
      <c r="J70" s="278">
        <f t="shared" si="2"/>
        <v>0.12068965517241381</v>
      </c>
      <c r="K70" s="266">
        <v>2.31</v>
      </c>
      <c r="L70" s="266">
        <v>2.99</v>
      </c>
      <c r="M70" s="266">
        <v>0.45</v>
      </c>
    </row>
    <row r="71" spans="1:13" ht="13.5" thickBot="1" x14ac:dyDescent="0.25">
      <c r="A71" s="265">
        <v>55</v>
      </c>
      <c r="B71" s="269" t="s">
        <v>470</v>
      </c>
      <c r="C71" s="266">
        <v>200</v>
      </c>
      <c r="D71" s="266">
        <v>2.2999999999999998</v>
      </c>
      <c r="E71" s="266">
        <v>0.06</v>
      </c>
      <c r="F71" s="266">
        <v>10</v>
      </c>
      <c r="G71" s="266">
        <v>15</v>
      </c>
      <c r="H71" s="280">
        <v>7.0000000000000007E-2</v>
      </c>
      <c r="I71" s="280">
        <v>0.09</v>
      </c>
      <c r="J71" s="278">
        <f t="shared" si="2"/>
        <v>7.7586206896551727E-2</v>
      </c>
      <c r="K71" s="266">
        <v>1.67</v>
      </c>
      <c r="L71" s="266">
        <v>1.96</v>
      </c>
      <c r="M71" s="266">
        <v>0.49</v>
      </c>
    </row>
    <row r="72" spans="1:13" ht="13.5" thickBot="1" x14ac:dyDescent="0.25">
      <c r="A72" s="265">
        <v>56</v>
      </c>
      <c r="B72" s="269" t="s">
        <v>471</v>
      </c>
      <c r="C72" s="266">
        <v>300</v>
      </c>
      <c r="D72" s="266">
        <v>2.2999999999999998</v>
      </c>
      <c r="E72" s="266">
        <v>6.4000000000000001E-2</v>
      </c>
      <c r="F72" s="266">
        <v>15</v>
      </c>
      <c r="G72" s="266">
        <v>20</v>
      </c>
      <c r="H72" s="280">
        <v>7.0000000000000007E-2</v>
      </c>
      <c r="I72" s="280">
        <v>0.08</v>
      </c>
      <c r="J72" s="278">
        <f t="shared" si="2"/>
        <v>6.8965517241379323E-2</v>
      </c>
      <c r="K72" s="266">
        <v>2.12</v>
      </c>
      <c r="L72" s="266">
        <v>2.34</v>
      </c>
      <c r="M72" s="266">
        <v>0.19</v>
      </c>
    </row>
    <row r="73" spans="1:13" ht="13.5" thickBot="1" x14ac:dyDescent="0.25">
      <c r="A73" s="265">
        <v>57</v>
      </c>
      <c r="B73" s="266" t="s">
        <v>446</v>
      </c>
      <c r="C73" s="266">
        <v>200</v>
      </c>
      <c r="D73" s="266">
        <v>2.2999999999999998</v>
      </c>
      <c r="E73" s="266">
        <v>5.1999999999999998E-2</v>
      </c>
      <c r="F73" s="266">
        <v>15</v>
      </c>
      <c r="G73" s="266">
        <v>20</v>
      </c>
      <c r="H73" s="280">
        <v>0.06</v>
      </c>
      <c r="I73" s="280">
        <v>6.4000000000000001E-2</v>
      </c>
      <c r="J73" s="278">
        <f t="shared" si="2"/>
        <v>5.5172413793103454E-2</v>
      </c>
      <c r="K73" s="266">
        <v>1.6</v>
      </c>
      <c r="L73" s="266">
        <v>1.71</v>
      </c>
      <c r="M73" s="266">
        <v>0.49</v>
      </c>
    </row>
    <row r="74" spans="1:13" ht="13.5" thickBot="1" x14ac:dyDescent="0.25">
      <c r="A74" s="265">
        <v>58</v>
      </c>
      <c r="B74" s="269" t="s">
        <v>472</v>
      </c>
      <c r="C74" s="266">
        <v>150</v>
      </c>
      <c r="D74" s="266">
        <v>2.2999999999999998</v>
      </c>
      <c r="E74" s="266">
        <v>0.05</v>
      </c>
      <c r="F74" s="266">
        <v>7</v>
      </c>
      <c r="G74" s="266">
        <v>12</v>
      </c>
      <c r="H74" s="280">
        <v>0.06</v>
      </c>
      <c r="I74" s="280">
        <v>7.0000000000000007E-2</v>
      </c>
      <c r="J74" s="278">
        <f t="shared" si="2"/>
        <v>6.0344827586206906E-2</v>
      </c>
      <c r="K74" s="266">
        <v>1.3</v>
      </c>
      <c r="L74" s="266">
        <v>1.47</v>
      </c>
      <c r="M74" s="266">
        <v>0.49</v>
      </c>
    </row>
    <row r="75" spans="1:13" ht="13.5" thickBot="1" x14ac:dyDescent="0.25">
      <c r="A75" s="265">
        <v>59</v>
      </c>
      <c r="B75" s="269" t="s">
        <v>473</v>
      </c>
      <c r="C75" s="266">
        <v>1200</v>
      </c>
      <c r="D75" s="266">
        <v>0.84</v>
      </c>
      <c r="E75" s="266">
        <v>0.35</v>
      </c>
      <c r="F75" s="266">
        <v>4</v>
      </c>
      <c r="G75" s="266">
        <v>6</v>
      </c>
      <c r="H75" s="280">
        <v>0.41</v>
      </c>
      <c r="I75" s="280">
        <v>0.47</v>
      </c>
      <c r="J75" s="278">
        <f t="shared" si="2"/>
        <v>0.40517241379310348</v>
      </c>
      <c r="K75" s="266">
        <v>6.01</v>
      </c>
      <c r="L75" s="266">
        <v>6.7</v>
      </c>
      <c r="M75" s="266">
        <v>9.8000000000000004E-2</v>
      </c>
    </row>
    <row r="76" spans="1:13" ht="13.5" thickBot="1" x14ac:dyDescent="0.25">
      <c r="A76" s="265">
        <v>60</v>
      </c>
      <c r="B76" s="266" t="s">
        <v>446</v>
      </c>
      <c r="C76" s="266">
        <v>1000</v>
      </c>
      <c r="D76" s="266">
        <v>0.84</v>
      </c>
      <c r="E76" s="266">
        <v>0.23</v>
      </c>
      <c r="F76" s="266">
        <v>4</v>
      </c>
      <c r="G76" s="266">
        <v>6</v>
      </c>
      <c r="H76" s="280">
        <v>0.28999999999999998</v>
      </c>
      <c r="I76" s="280">
        <v>0.35</v>
      </c>
      <c r="J76" s="278">
        <f t="shared" si="2"/>
        <v>0.30172413793103448</v>
      </c>
      <c r="K76" s="266">
        <v>4.62</v>
      </c>
      <c r="L76" s="266">
        <v>5.28</v>
      </c>
      <c r="M76" s="266">
        <v>0.11</v>
      </c>
    </row>
    <row r="77" spans="1:13" ht="26.25" thickBot="1" x14ac:dyDescent="0.25">
      <c r="A77" s="265">
        <v>61</v>
      </c>
      <c r="B77" s="269" t="s">
        <v>474</v>
      </c>
      <c r="C77" s="266">
        <v>800</v>
      </c>
      <c r="D77" s="266">
        <v>0.84</v>
      </c>
      <c r="E77" s="266">
        <v>0.15</v>
      </c>
      <c r="F77" s="266">
        <v>4</v>
      </c>
      <c r="G77" s="266">
        <v>6</v>
      </c>
      <c r="H77" s="280">
        <v>0.19</v>
      </c>
      <c r="I77" s="280">
        <v>0.21</v>
      </c>
      <c r="J77" s="278">
        <f t="shared" si="2"/>
        <v>0.18103448275862069</v>
      </c>
      <c r="K77" s="266">
        <v>3.34</v>
      </c>
      <c r="L77" s="266">
        <v>3.66</v>
      </c>
      <c r="M77" s="266">
        <v>7.4999999999999997E-2</v>
      </c>
    </row>
    <row r="78" spans="1:13" ht="26.25" thickBot="1" x14ac:dyDescent="0.25">
      <c r="A78" s="265">
        <v>62</v>
      </c>
      <c r="B78" s="269" t="s">
        <v>475</v>
      </c>
      <c r="C78" s="266">
        <v>400</v>
      </c>
      <c r="D78" s="266">
        <v>1.68</v>
      </c>
      <c r="E78" s="266">
        <v>0.11</v>
      </c>
      <c r="F78" s="266">
        <v>1</v>
      </c>
      <c r="G78" s="266">
        <v>2</v>
      </c>
      <c r="H78" s="280">
        <v>0.12</v>
      </c>
      <c r="I78" s="280">
        <v>0.13</v>
      </c>
      <c r="J78" s="278">
        <f t="shared" si="2"/>
        <v>0.1120689655172414</v>
      </c>
      <c r="K78" s="266">
        <v>2.4500000000000002</v>
      </c>
      <c r="L78" s="266">
        <v>2.59</v>
      </c>
      <c r="M78" s="266">
        <v>0.04</v>
      </c>
    </row>
    <row r="79" spans="1:13" ht="13.5" thickBot="1" x14ac:dyDescent="0.25">
      <c r="A79" s="265">
        <v>63</v>
      </c>
      <c r="B79" s="266" t="s">
        <v>446</v>
      </c>
      <c r="C79" s="266">
        <v>300</v>
      </c>
      <c r="D79" s="266">
        <v>1.68</v>
      </c>
      <c r="E79" s="266">
        <v>8.6999999999999994E-2</v>
      </c>
      <c r="F79" s="266">
        <v>1</v>
      </c>
      <c r="G79" s="266">
        <v>2</v>
      </c>
      <c r="H79" s="280">
        <v>0.09</v>
      </c>
      <c r="I79" s="280">
        <v>9.9000000000000005E-2</v>
      </c>
      <c r="J79" s="278">
        <f t="shared" si="2"/>
        <v>8.5344827586206901E-2</v>
      </c>
      <c r="K79" s="266">
        <v>1.84</v>
      </c>
      <c r="L79" s="266">
        <v>1.95</v>
      </c>
      <c r="M79" s="266">
        <v>0.04</v>
      </c>
    </row>
    <row r="80" spans="1:13" ht="13.5" thickBot="1" x14ac:dyDescent="0.25">
      <c r="A80" s="431" t="s">
        <v>476</v>
      </c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3"/>
    </row>
    <row r="81" spans="1:13" ht="13.5" thickBot="1" x14ac:dyDescent="0.25">
      <c r="A81" s="265">
        <v>64</v>
      </c>
      <c r="B81" s="269" t="s">
        <v>477</v>
      </c>
      <c r="C81" s="266">
        <v>800</v>
      </c>
      <c r="D81" s="266">
        <v>0.84</v>
      </c>
      <c r="E81" s="266">
        <v>0.18</v>
      </c>
      <c r="F81" s="266">
        <v>2</v>
      </c>
      <c r="G81" s="266">
        <v>3</v>
      </c>
      <c r="H81" s="268">
        <v>0.21</v>
      </c>
      <c r="I81" s="268">
        <v>0.23</v>
      </c>
      <c r="J81" s="270">
        <f t="shared" ref="J81:J97" si="3">I81/1.16</f>
        <v>0.19827586206896555</v>
      </c>
      <c r="K81" s="266">
        <v>3.36</v>
      </c>
      <c r="L81" s="266">
        <v>3.6</v>
      </c>
      <c r="M81" s="266">
        <v>0.21</v>
      </c>
    </row>
    <row r="82" spans="1:13" ht="13.5" thickBot="1" x14ac:dyDescent="0.25">
      <c r="A82" s="265">
        <v>65</v>
      </c>
      <c r="B82" s="266" t="s">
        <v>446</v>
      </c>
      <c r="C82" s="266">
        <v>600</v>
      </c>
      <c r="D82" s="266">
        <v>0.84</v>
      </c>
      <c r="E82" s="266">
        <v>0.14000000000000001</v>
      </c>
      <c r="F82" s="266">
        <v>2</v>
      </c>
      <c r="G82" s="266">
        <v>3</v>
      </c>
      <c r="H82" s="268">
        <v>0.17</v>
      </c>
      <c r="I82" s="268">
        <v>0.2</v>
      </c>
      <c r="J82" s="270">
        <f t="shared" si="3"/>
        <v>0.17241379310344829</v>
      </c>
      <c r="K82" s="266">
        <v>2.62</v>
      </c>
      <c r="L82" s="266">
        <v>2.91</v>
      </c>
      <c r="M82" s="266">
        <v>0.23</v>
      </c>
    </row>
    <row r="83" spans="1:13" ht="13.5" thickBot="1" x14ac:dyDescent="0.25">
      <c r="A83" s="265">
        <v>66</v>
      </c>
      <c r="B83" s="266" t="s">
        <v>443</v>
      </c>
      <c r="C83" s="266">
        <v>400</v>
      </c>
      <c r="D83" s="266">
        <v>0.84</v>
      </c>
      <c r="E83" s="266">
        <v>0.12</v>
      </c>
      <c r="F83" s="266">
        <v>2</v>
      </c>
      <c r="G83" s="266">
        <v>3</v>
      </c>
      <c r="H83" s="268">
        <v>0.13</v>
      </c>
      <c r="I83" s="268">
        <v>0.14000000000000001</v>
      </c>
      <c r="J83" s="270">
        <f t="shared" si="3"/>
        <v>0.12068965517241381</v>
      </c>
      <c r="K83" s="266">
        <v>1.87</v>
      </c>
      <c r="L83" s="266">
        <v>1.99</v>
      </c>
      <c r="M83" s="266">
        <v>0.24</v>
      </c>
    </row>
    <row r="84" spans="1:13" ht="13.5" thickBot="1" x14ac:dyDescent="0.25">
      <c r="A84" s="265">
        <v>67</v>
      </c>
      <c r="B84" s="266" t="s">
        <v>443</v>
      </c>
      <c r="C84" s="266">
        <v>300</v>
      </c>
      <c r="D84" s="266">
        <v>0.84</v>
      </c>
      <c r="E84" s="266">
        <v>0.108</v>
      </c>
      <c r="F84" s="266">
        <v>2</v>
      </c>
      <c r="G84" s="266">
        <v>3</v>
      </c>
      <c r="H84" s="268">
        <v>0.12</v>
      </c>
      <c r="I84" s="268">
        <v>0.13</v>
      </c>
      <c r="J84" s="270">
        <f t="shared" si="3"/>
        <v>0.1120689655172414</v>
      </c>
      <c r="K84" s="266">
        <v>1.56</v>
      </c>
      <c r="L84" s="266">
        <v>1.66</v>
      </c>
      <c r="M84" s="266">
        <v>0.25</v>
      </c>
    </row>
    <row r="85" spans="1:13" ht="13.5" thickBot="1" x14ac:dyDescent="0.25">
      <c r="A85" s="265">
        <v>68</v>
      </c>
      <c r="B85" s="266" t="s">
        <v>443</v>
      </c>
      <c r="C85" s="266">
        <v>200</v>
      </c>
      <c r="D85" s="266">
        <v>0.84</v>
      </c>
      <c r="E85" s="266">
        <v>9.9000000000000005E-2</v>
      </c>
      <c r="F85" s="266">
        <v>2</v>
      </c>
      <c r="G85" s="266">
        <v>3</v>
      </c>
      <c r="H85" s="268">
        <v>0.11</v>
      </c>
      <c r="I85" s="268">
        <v>0.12</v>
      </c>
      <c r="J85" s="270">
        <f t="shared" si="3"/>
        <v>0.10344827586206896</v>
      </c>
      <c r="K85" s="266">
        <v>1.22</v>
      </c>
      <c r="L85" s="266">
        <v>1.3</v>
      </c>
      <c r="M85" s="266">
        <v>0.26</v>
      </c>
    </row>
    <row r="86" spans="1:13" ht="13.5" thickBot="1" x14ac:dyDescent="0.25">
      <c r="A86" s="265">
        <v>69</v>
      </c>
      <c r="B86" s="269" t="s">
        <v>478</v>
      </c>
      <c r="C86" s="266">
        <v>800</v>
      </c>
      <c r="D86" s="266">
        <v>0.84</v>
      </c>
      <c r="E86" s="266">
        <v>0.16</v>
      </c>
      <c r="F86" s="266">
        <v>2</v>
      </c>
      <c r="G86" s="266">
        <v>4</v>
      </c>
      <c r="H86" s="268">
        <v>0.2</v>
      </c>
      <c r="I86" s="268">
        <v>0.23</v>
      </c>
      <c r="J86" s="270">
        <f t="shared" si="3"/>
        <v>0.19827586206896555</v>
      </c>
      <c r="K86" s="266">
        <v>3.28</v>
      </c>
      <c r="L86" s="266">
        <v>3.68</v>
      </c>
      <c r="M86" s="266">
        <v>0.21</v>
      </c>
    </row>
    <row r="87" spans="1:13" ht="13.5" thickBot="1" x14ac:dyDescent="0.25">
      <c r="A87" s="265">
        <v>70</v>
      </c>
      <c r="B87" s="266" t="s">
        <v>446</v>
      </c>
      <c r="C87" s="266">
        <v>600</v>
      </c>
      <c r="D87" s="266">
        <v>0.84</v>
      </c>
      <c r="E87" s="266">
        <v>0.13</v>
      </c>
      <c r="F87" s="266">
        <v>2</v>
      </c>
      <c r="G87" s="266">
        <v>4</v>
      </c>
      <c r="H87" s="268">
        <v>0.16</v>
      </c>
      <c r="I87" s="268">
        <v>0.2</v>
      </c>
      <c r="J87" s="270">
        <f t="shared" si="3"/>
        <v>0.17241379310344829</v>
      </c>
      <c r="K87" s="266">
        <v>2.54</v>
      </c>
      <c r="L87" s="266">
        <v>2.97</v>
      </c>
      <c r="M87" s="266">
        <v>0.22</v>
      </c>
    </row>
    <row r="88" spans="1:13" ht="13.5" thickBot="1" x14ac:dyDescent="0.25">
      <c r="A88" s="265">
        <v>71</v>
      </c>
      <c r="B88" s="266" t="s">
        <v>443</v>
      </c>
      <c r="C88" s="266">
        <v>400</v>
      </c>
      <c r="D88" s="266">
        <v>0.84</v>
      </c>
      <c r="E88" s="266">
        <v>0.11</v>
      </c>
      <c r="F88" s="266">
        <v>2</v>
      </c>
      <c r="G88" s="266">
        <v>4</v>
      </c>
      <c r="H88" s="268">
        <v>0.13</v>
      </c>
      <c r="I88" s="268">
        <v>0.14000000000000001</v>
      </c>
      <c r="J88" s="270">
        <f t="shared" si="3"/>
        <v>0.12068965517241381</v>
      </c>
      <c r="K88" s="266">
        <v>1.87</v>
      </c>
      <c r="L88" s="266">
        <v>2.0299999999999998</v>
      </c>
      <c r="M88" s="266">
        <v>0.23</v>
      </c>
    </row>
    <row r="89" spans="1:13" ht="26.25" thickBot="1" x14ac:dyDescent="0.25">
      <c r="A89" s="265">
        <v>72</v>
      </c>
      <c r="B89" s="269" t="s">
        <v>479</v>
      </c>
      <c r="C89" s="266">
        <v>800</v>
      </c>
      <c r="D89" s="266">
        <v>0.84</v>
      </c>
      <c r="E89" s="266">
        <v>0.18</v>
      </c>
      <c r="F89" s="266">
        <v>2</v>
      </c>
      <c r="G89" s="266">
        <v>3</v>
      </c>
      <c r="H89" s="268">
        <v>0.21</v>
      </c>
      <c r="I89" s="268">
        <v>0.26</v>
      </c>
      <c r="J89" s="270">
        <f t="shared" si="3"/>
        <v>0.22413793103448279</v>
      </c>
      <c r="K89" s="266">
        <v>3.36</v>
      </c>
      <c r="L89" s="266">
        <v>3.83</v>
      </c>
      <c r="M89" s="266">
        <v>0.21</v>
      </c>
    </row>
    <row r="90" spans="1:13" ht="13.5" thickBot="1" x14ac:dyDescent="0.25">
      <c r="A90" s="265">
        <v>73</v>
      </c>
      <c r="B90" s="266" t="s">
        <v>446</v>
      </c>
      <c r="C90" s="266">
        <v>600</v>
      </c>
      <c r="D90" s="266">
        <v>0.84</v>
      </c>
      <c r="E90" s="266">
        <v>0.15</v>
      </c>
      <c r="F90" s="266">
        <v>2</v>
      </c>
      <c r="G90" s="266">
        <v>3</v>
      </c>
      <c r="H90" s="268">
        <v>0.18</v>
      </c>
      <c r="I90" s="268">
        <v>0.21</v>
      </c>
      <c r="J90" s="270">
        <f t="shared" si="3"/>
        <v>0.18103448275862069</v>
      </c>
      <c r="K90" s="266">
        <v>2.7</v>
      </c>
      <c r="L90" s="266">
        <v>2.98</v>
      </c>
      <c r="M90" s="266">
        <v>0.23</v>
      </c>
    </row>
    <row r="91" spans="1:13" ht="13.5" thickBot="1" x14ac:dyDescent="0.25">
      <c r="A91" s="265">
        <v>74</v>
      </c>
      <c r="B91" s="266" t="s">
        <v>443</v>
      </c>
      <c r="C91" s="266">
        <v>400</v>
      </c>
      <c r="D91" s="266">
        <v>0.84</v>
      </c>
      <c r="E91" s="266">
        <v>0.12</v>
      </c>
      <c r="F91" s="266">
        <v>2</v>
      </c>
      <c r="G91" s="266">
        <v>3</v>
      </c>
      <c r="H91" s="268">
        <v>0.14000000000000001</v>
      </c>
      <c r="I91" s="268">
        <v>0.16</v>
      </c>
      <c r="J91" s="270">
        <f t="shared" si="3"/>
        <v>0.13793103448275865</v>
      </c>
      <c r="K91" s="266">
        <v>1.94</v>
      </c>
      <c r="L91" s="266">
        <v>2.12</v>
      </c>
      <c r="M91" s="266">
        <v>0.24</v>
      </c>
    </row>
    <row r="92" spans="1:13" ht="26.25" thickBot="1" x14ac:dyDescent="0.25">
      <c r="A92" s="265">
        <v>75</v>
      </c>
      <c r="B92" s="269" t="s">
        <v>480</v>
      </c>
      <c r="C92" s="266">
        <v>600</v>
      </c>
      <c r="D92" s="266">
        <v>0.84</v>
      </c>
      <c r="E92" s="266">
        <v>0.11</v>
      </c>
      <c r="F92" s="266">
        <v>1</v>
      </c>
      <c r="G92" s="266">
        <v>2</v>
      </c>
      <c r="H92" s="268">
        <v>0.111</v>
      </c>
      <c r="I92" s="268">
        <v>0.12</v>
      </c>
      <c r="J92" s="270">
        <f t="shared" si="3"/>
        <v>0.10344827586206896</v>
      </c>
      <c r="K92" s="266">
        <v>2.0699999999999998</v>
      </c>
      <c r="L92" s="266">
        <v>2.2000000000000002</v>
      </c>
      <c r="M92" s="266">
        <v>0.26</v>
      </c>
    </row>
    <row r="93" spans="1:13" ht="13.5" thickBot="1" x14ac:dyDescent="0.25">
      <c r="A93" s="265">
        <v>76</v>
      </c>
      <c r="B93" s="266" t="s">
        <v>446</v>
      </c>
      <c r="C93" s="266">
        <v>400</v>
      </c>
      <c r="D93" s="266">
        <v>0.84</v>
      </c>
      <c r="E93" s="266">
        <v>7.5999999999999998E-2</v>
      </c>
      <c r="F93" s="266">
        <v>1</v>
      </c>
      <c r="G93" s="266">
        <v>2</v>
      </c>
      <c r="H93" s="268">
        <v>8.6999999999999994E-2</v>
      </c>
      <c r="I93" s="268">
        <v>0.09</v>
      </c>
      <c r="J93" s="270">
        <f t="shared" si="3"/>
        <v>7.7586206896551727E-2</v>
      </c>
      <c r="K93" s="266">
        <v>1.5</v>
      </c>
      <c r="L93" s="266">
        <v>1.56</v>
      </c>
      <c r="M93" s="266">
        <v>0.3</v>
      </c>
    </row>
    <row r="94" spans="1:13" ht="13.5" thickBot="1" x14ac:dyDescent="0.25">
      <c r="A94" s="265">
        <v>77</v>
      </c>
      <c r="B94" s="266" t="s">
        <v>443</v>
      </c>
      <c r="C94" s="266">
        <v>200</v>
      </c>
      <c r="D94" s="266">
        <v>0.84</v>
      </c>
      <c r="E94" s="266">
        <v>6.4000000000000001E-2</v>
      </c>
      <c r="F94" s="266">
        <v>1</v>
      </c>
      <c r="G94" s="266">
        <v>2</v>
      </c>
      <c r="H94" s="268">
        <v>7.5999999999999998E-2</v>
      </c>
      <c r="I94" s="268">
        <v>0.08</v>
      </c>
      <c r="J94" s="270">
        <f t="shared" si="3"/>
        <v>6.8965517241379323E-2</v>
      </c>
      <c r="K94" s="266">
        <v>0.99</v>
      </c>
      <c r="L94" s="266">
        <v>1.04</v>
      </c>
      <c r="M94" s="266">
        <v>0.34</v>
      </c>
    </row>
    <row r="95" spans="1:13" ht="13.5" thickBot="1" x14ac:dyDescent="0.25">
      <c r="A95" s="265">
        <v>78</v>
      </c>
      <c r="B95" s="269" t="s">
        <v>481</v>
      </c>
      <c r="C95" s="266">
        <v>200</v>
      </c>
      <c r="D95" s="266">
        <v>0.84</v>
      </c>
      <c r="E95" s="266">
        <v>7.5999999999999998E-2</v>
      </c>
      <c r="F95" s="266">
        <v>1</v>
      </c>
      <c r="G95" s="266">
        <v>3</v>
      </c>
      <c r="H95" s="268">
        <v>0.09</v>
      </c>
      <c r="I95" s="268">
        <v>0.11</v>
      </c>
      <c r="J95" s="270">
        <f t="shared" si="3"/>
        <v>9.4827586206896561E-2</v>
      </c>
      <c r="K95" s="266">
        <v>1.08</v>
      </c>
      <c r="L95" s="266">
        <v>1.24</v>
      </c>
      <c r="M95" s="266">
        <v>0.23</v>
      </c>
    </row>
    <row r="96" spans="1:13" ht="13.5" thickBot="1" x14ac:dyDescent="0.25">
      <c r="A96" s="265">
        <v>79</v>
      </c>
      <c r="B96" s="266" t="s">
        <v>446</v>
      </c>
      <c r="C96" s="266">
        <v>100</v>
      </c>
      <c r="D96" s="266">
        <v>0.84</v>
      </c>
      <c r="E96" s="266">
        <v>6.4000000000000001E-2</v>
      </c>
      <c r="F96" s="266">
        <v>1</v>
      </c>
      <c r="G96" s="266">
        <v>3</v>
      </c>
      <c r="H96" s="268">
        <v>7.5999999999999998E-2</v>
      </c>
      <c r="I96" s="268">
        <v>0.08</v>
      </c>
      <c r="J96" s="270">
        <f t="shared" si="3"/>
        <v>6.8965517241379323E-2</v>
      </c>
      <c r="K96" s="266">
        <v>0.7</v>
      </c>
      <c r="L96" s="266">
        <v>0.75</v>
      </c>
      <c r="M96" s="266">
        <v>0.3</v>
      </c>
    </row>
    <row r="97" spans="1:13" ht="13.5" thickBot="1" x14ac:dyDescent="0.25">
      <c r="A97" s="265">
        <v>80</v>
      </c>
      <c r="B97" s="269" t="s">
        <v>482</v>
      </c>
      <c r="C97" s="266">
        <v>1600</v>
      </c>
      <c r="D97" s="266">
        <v>0.84</v>
      </c>
      <c r="E97" s="266">
        <v>0.35</v>
      </c>
      <c r="F97" s="266">
        <v>1</v>
      </c>
      <c r="G97" s="266">
        <v>2</v>
      </c>
      <c r="H97" s="268">
        <v>0.47</v>
      </c>
      <c r="I97" s="268">
        <v>0.57999999999999996</v>
      </c>
      <c r="J97" s="270">
        <f t="shared" si="3"/>
        <v>0.5</v>
      </c>
      <c r="K97" s="266">
        <v>6.95</v>
      </c>
      <c r="L97" s="266">
        <v>7.91</v>
      </c>
      <c r="M97" s="266">
        <v>0.17</v>
      </c>
    </row>
    <row r="98" spans="1:13" ht="13.5" thickBot="1" x14ac:dyDescent="0.25">
      <c r="A98" s="431" t="s">
        <v>483</v>
      </c>
      <c r="B98" s="432"/>
      <c r="C98" s="432"/>
      <c r="D98" s="432"/>
      <c r="E98" s="432"/>
      <c r="F98" s="432"/>
      <c r="G98" s="432"/>
      <c r="H98" s="432"/>
      <c r="I98" s="432"/>
      <c r="J98" s="432"/>
      <c r="K98" s="432"/>
      <c r="L98" s="432"/>
      <c r="M98" s="433"/>
    </row>
    <row r="99" spans="1:13" ht="13.5" thickBot="1" x14ac:dyDescent="0.25">
      <c r="A99" s="265">
        <v>81</v>
      </c>
      <c r="B99" s="269" t="s">
        <v>484</v>
      </c>
      <c r="C99" s="266">
        <v>1400</v>
      </c>
      <c r="D99" s="266">
        <v>0.84</v>
      </c>
      <c r="E99" s="266">
        <v>0.41</v>
      </c>
      <c r="F99" s="266">
        <v>2</v>
      </c>
      <c r="G99" s="266">
        <v>4</v>
      </c>
      <c r="H99" s="268">
        <v>0.52</v>
      </c>
      <c r="I99" s="268">
        <v>0.64</v>
      </c>
      <c r="J99" s="270">
        <f t="shared" ref="J99:J105" si="4">I99/1.16</f>
        <v>0.55172413793103459</v>
      </c>
      <c r="K99" s="266">
        <v>7</v>
      </c>
      <c r="L99" s="266">
        <v>8.11</v>
      </c>
      <c r="M99" s="266">
        <v>0.11</v>
      </c>
    </row>
    <row r="100" spans="1:13" ht="13.5" thickBot="1" x14ac:dyDescent="0.25">
      <c r="A100" s="265">
        <v>82</v>
      </c>
      <c r="B100" s="266" t="s">
        <v>446</v>
      </c>
      <c r="C100" s="266">
        <v>1200</v>
      </c>
      <c r="D100" s="266">
        <v>0.84</v>
      </c>
      <c r="E100" s="266">
        <v>0.35</v>
      </c>
      <c r="F100" s="266">
        <v>2</v>
      </c>
      <c r="G100" s="266">
        <v>4</v>
      </c>
      <c r="H100" s="268">
        <v>0.47</v>
      </c>
      <c r="I100" s="268">
        <v>0.57999999999999996</v>
      </c>
      <c r="J100" s="270">
        <f t="shared" si="4"/>
        <v>0.5</v>
      </c>
      <c r="K100" s="266">
        <v>6.16</v>
      </c>
      <c r="L100" s="266">
        <v>7.15</v>
      </c>
      <c r="M100" s="266">
        <v>0.14000000000000001</v>
      </c>
    </row>
    <row r="101" spans="1:13" ht="13.5" thickBot="1" x14ac:dyDescent="0.25">
      <c r="A101" s="265">
        <v>83</v>
      </c>
      <c r="B101" s="269" t="s">
        <v>179</v>
      </c>
      <c r="C101" s="266">
        <v>1000</v>
      </c>
      <c r="D101" s="266">
        <v>0.84</v>
      </c>
      <c r="E101" s="266">
        <v>0.21</v>
      </c>
      <c r="F101" s="266">
        <v>7</v>
      </c>
      <c r="G101" s="266">
        <v>12</v>
      </c>
      <c r="H101" s="268">
        <v>0.26</v>
      </c>
      <c r="I101" s="268">
        <v>0.3</v>
      </c>
      <c r="J101" s="270">
        <f t="shared" si="4"/>
        <v>0.25862068965517243</v>
      </c>
      <c r="K101" s="266">
        <v>4.6399999999999997</v>
      </c>
      <c r="L101" s="266">
        <v>5.42</v>
      </c>
      <c r="M101" s="266">
        <v>0.15</v>
      </c>
    </row>
    <row r="102" spans="1:13" ht="13.5" thickBot="1" x14ac:dyDescent="0.25">
      <c r="A102" s="265">
        <v>84</v>
      </c>
      <c r="B102" s="266" t="s">
        <v>446</v>
      </c>
      <c r="C102" s="266">
        <v>800</v>
      </c>
      <c r="D102" s="266">
        <v>0.84</v>
      </c>
      <c r="E102" s="266">
        <v>0.16</v>
      </c>
      <c r="F102" s="266">
        <v>7</v>
      </c>
      <c r="G102" s="266">
        <v>12</v>
      </c>
      <c r="H102" s="268">
        <v>0.21</v>
      </c>
      <c r="I102" s="268">
        <v>0.26</v>
      </c>
      <c r="J102" s="270">
        <f t="shared" si="4"/>
        <v>0.22413793103448279</v>
      </c>
      <c r="K102" s="266">
        <v>3.73</v>
      </c>
      <c r="L102" s="266">
        <v>4.51</v>
      </c>
      <c r="M102" s="266">
        <v>0.16</v>
      </c>
    </row>
    <row r="103" spans="1:13" ht="13.5" thickBot="1" x14ac:dyDescent="0.25">
      <c r="A103" s="265">
        <v>85</v>
      </c>
      <c r="B103" s="269" t="s">
        <v>485</v>
      </c>
      <c r="C103" s="266">
        <v>600</v>
      </c>
      <c r="D103" s="266">
        <v>0.84</v>
      </c>
      <c r="E103" s="266">
        <v>0.14000000000000001</v>
      </c>
      <c r="F103" s="266">
        <v>10</v>
      </c>
      <c r="G103" s="266">
        <v>15</v>
      </c>
      <c r="H103" s="268">
        <v>0.19</v>
      </c>
      <c r="I103" s="268">
        <v>0.23</v>
      </c>
      <c r="J103" s="270">
        <f t="shared" si="4"/>
        <v>0.19827586206896555</v>
      </c>
      <c r="K103" s="266">
        <v>3.24</v>
      </c>
      <c r="L103" s="266">
        <v>3.84</v>
      </c>
      <c r="M103" s="266">
        <v>0.17</v>
      </c>
    </row>
    <row r="104" spans="1:13" ht="13.5" thickBot="1" x14ac:dyDescent="0.25">
      <c r="A104" s="265">
        <v>86</v>
      </c>
      <c r="B104" s="269" t="s">
        <v>486</v>
      </c>
      <c r="C104" s="266">
        <v>500</v>
      </c>
      <c r="D104" s="266">
        <v>0.84</v>
      </c>
      <c r="E104" s="266">
        <v>0.12</v>
      </c>
      <c r="F104" s="266">
        <v>6</v>
      </c>
      <c r="G104" s="266">
        <v>10</v>
      </c>
      <c r="H104" s="268">
        <v>0.15</v>
      </c>
      <c r="I104" s="268">
        <v>0.19</v>
      </c>
      <c r="J104" s="270">
        <f t="shared" si="4"/>
        <v>0.16379310344827588</v>
      </c>
      <c r="K104" s="266">
        <v>2.44</v>
      </c>
      <c r="L104" s="266">
        <v>2.95</v>
      </c>
      <c r="M104" s="266">
        <v>0.43</v>
      </c>
    </row>
    <row r="105" spans="1:13" ht="13.5" thickBot="1" x14ac:dyDescent="0.25">
      <c r="A105" s="265">
        <v>87</v>
      </c>
      <c r="B105" s="266" t="s">
        <v>446</v>
      </c>
      <c r="C105" s="266">
        <v>400</v>
      </c>
      <c r="D105" s="266">
        <v>0.84</v>
      </c>
      <c r="E105" s="266">
        <v>0.09</v>
      </c>
      <c r="F105" s="266">
        <v>6</v>
      </c>
      <c r="G105" s="266">
        <v>10</v>
      </c>
      <c r="H105" s="268">
        <v>0.13</v>
      </c>
      <c r="I105" s="268">
        <v>0.15</v>
      </c>
      <c r="J105" s="270">
        <f t="shared" si="4"/>
        <v>0.12931034482758622</v>
      </c>
      <c r="K105" s="266">
        <v>2.0299999999999998</v>
      </c>
      <c r="L105" s="266">
        <v>2.35</v>
      </c>
      <c r="M105" s="266">
        <v>0.53</v>
      </c>
    </row>
    <row r="106" spans="1:13" ht="13.5" thickBot="1" x14ac:dyDescent="0.25">
      <c r="A106" s="434" t="s">
        <v>487</v>
      </c>
      <c r="B106" s="435"/>
      <c r="C106" s="435"/>
      <c r="D106" s="435"/>
      <c r="E106" s="435"/>
      <c r="F106" s="435"/>
      <c r="G106" s="435"/>
      <c r="H106" s="435"/>
      <c r="I106" s="435"/>
      <c r="J106" s="435"/>
      <c r="K106" s="435"/>
      <c r="L106" s="435"/>
      <c r="M106" s="436"/>
    </row>
    <row r="107" spans="1:13" ht="13.5" thickBot="1" x14ac:dyDescent="0.25">
      <c r="A107" s="431" t="s">
        <v>488</v>
      </c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  <c r="L107" s="432"/>
      <c r="M107" s="433"/>
    </row>
    <row r="108" spans="1:13" ht="13.5" thickBot="1" x14ac:dyDescent="0.25">
      <c r="A108" s="265">
        <v>88</v>
      </c>
      <c r="B108" s="269" t="s">
        <v>167</v>
      </c>
      <c r="C108" s="266">
        <v>1800</v>
      </c>
      <c r="D108" s="266">
        <v>0.84</v>
      </c>
      <c r="E108" s="266">
        <v>0.64</v>
      </c>
      <c r="F108" s="266">
        <v>7</v>
      </c>
      <c r="G108" s="266">
        <v>10</v>
      </c>
      <c r="H108" s="268">
        <v>0.87</v>
      </c>
      <c r="I108" s="268">
        <v>0.99</v>
      </c>
      <c r="J108" s="270">
        <f t="shared" ref="J108:J121" si="5">I108/1.16</f>
        <v>0.85344827586206906</v>
      </c>
      <c r="K108" s="266">
        <v>11.38</v>
      </c>
      <c r="L108" s="266">
        <v>12.79</v>
      </c>
      <c r="M108" s="266">
        <v>0.09</v>
      </c>
    </row>
    <row r="109" spans="1:13" ht="13.5" thickBot="1" x14ac:dyDescent="0.25">
      <c r="A109" s="265">
        <v>89</v>
      </c>
      <c r="B109" s="266" t="s">
        <v>443</v>
      </c>
      <c r="C109" s="266">
        <v>1600</v>
      </c>
      <c r="D109" s="266">
        <v>0.84</v>
      </c>
      <c r="E109" s="266">
        <v>0.52</v>
      </c>
      <c r="F109" s="266">
        <v>7</v>
      </c>
      <c r="G109" s="266">
        <v>10</v>
      </c>
      <c r="H109" s="268">
        <v>0.7</v>
      </c>
      <c r="I109" s="268">
        <v>0.81</v>
      </c>
      <c r="J109" s="270">
        <f t="shared" si="5"/>
        <v>0.69827586206896564</v>
      </c>
      <c r="K109" s="266">
        <v>9.6199999999999992</v>
      </c>
      <c r="L109" s="266">
        <v>10.91</v>
      </c>
      <c r="M109" s="266">
        <v>0.11</v>
      </c>
    </row>
    <row r="110" spans="1:13" ht="13.5" thickBot="1" x14ac:dyDescent="0.25">
      <c r="A110" s="265">
        <v>90</v>
      </c>
      <c r="B110" s="266" t="s">
        <v>443</v>
      </c>
      <c r="C110" s="266">
        <v>1400</v>
      </c>
      <c r="D110" s="266">
        <v>0.84</v>
      </c>
      <c r="E110" s="266">
        <v>0.41</v>
      </c>
      <c r="F110" s="266">
        <v>7</v>
      </c>
      <c r="G110" s="266">
        <v>10</v>
      </c>
      <c r="H110" s="268">
        <v>0.52</v>
      </c>
      <c r="I110" s="268">
        <v>0.57999999999999996</v>
      </c>
      <c r="J110" s="270">
        <f t="shared" si="5"/>
        <v>0.5</v>
      </c>
      <c r="K110" s="266">
        <v>7.76</v>
      </c>
      <c r="L110" s="266">
        <v>8.6300000000000008</v>
      </c>
      <c r="M110" s="266">
        <v>0.11</v>
      </c>
    </row>
    <row r="111" spans="1:13" ht="13.5" thickBot="1" x14ac:dyDescent="0.25">
      <c r="A111" s="265">
        <v>91</v>
      </c>
      <c r="B111" s="266" t="s">
        <v>443</v>
      </c>
      <c r="C111" s="266">
        <v>1200</v>
      </c>
      <c r="D111" s="266">
        <v>0.84</v>
      </c>
      <c r="E111" s="266">
        <v>0.28999999999999998</v>
      </c>
      <c r="F111" s="266">
        <v>7</v>
      </c>
      <c r="G111" s="266">
        <v>10</v>
      </c>
      <c r="H111" s="268">
        <v>0.41</v>
      </c>
      <c r="I111" s="268">
        <v>0.47</v>
      </c>
      <c r="J111" s="270">
        <f t="shared" si="5"/>
        <v>0.40517241379310348</v>
      </c>
      <c r="K111" s="266">
        <v>6.38</v>
      </c>
      <c r="L111" s="266">
        <v>7.2</v>
      </c>
      <c r="M111" s="266">
        <v>0.12</v>
      </c>
    </row>
    <row r="112" spans="1:13" ht="13.5" thickBot="1" x14ac:dyDescent="0.25">
      <c r="A112" s="265">
        <v>92</v>
      </c>
      <c r="B112" s="269" t="s">
        <v>168</v>
      </c>
      <c r="C112" s="266">
        <v>1600</v>
      </c>
      <c r="D112" s="266">
        <v>0.84</v>
      </c>
      <c r="E112" s="266">
        <v>0.52</v>
      </c>
      <c r="F112" s="266">
        <v>4</v>
      </c>
      <c r="G112" s="266">
        <v>6</v>
      </c>
      <c r="H112" s="268">
        <v>0.62</v>
      </c>
      <c r="I112" s="268">
        <v>0.68</v>
      </c>
      <c r="J112" s="270">
        <f t="shared" si="5"/>
        <v>0.5862068965517242</v>
      </c>
      <c r="K112" s="266">
        <v>8.5399999999999991</v>
      </c>
      <c r="L112" s="266">
        <v>9.3000000000000007</v>
      </c>
      <c r="M112" s="266">
        <v>7.4999999999999997E-2</v>
      </c>
    </row>
    <row r="113" spans="1:13" ht="13.5" thickBot="1" x14ac:dyDescent="0.25">
      <c r="A113" s="265">
        <v>93</v>
      </c>
      <c r="B113" s="266" t="s">
        <v>443</v>
      </c>
      <c r="C113" s="266">
        <v>1400</v>
      </c>
      <c r="D113" s="266">
        <v>0.84</v>
      </c>
      <c r="E113" s="266">
        <v>0.42</v>
      </c>
      <c r="F113" s="266">
        <v>4</v>
      </c>
      <c r="G113" s="266">
        <v>6</v>
      </c>
      <c r="H113" s="268">
        <v>0.49</v>
      </c>
      <c r="I113" s="268">
        <v>0.54</v>
      </c>
      <c r="J113" s="270">
        <f t="shared" si="5"/>
        <v>0.46551724137931039</v>
      </c>
      <c r="K113" s="266">
        <v>7.1</v>
      </c>
      <c r="L113" s="266">
        <v>7.76</v>
      </c>
      <c r="M113" s="266">
        <v>8.3000000000000004E-2</v>
      </c>
    </row>
    <row r="114" spans="1:13" ht="13.5" thickBot="1" x14ac:dyDescent="0.25">
      <c r="A114" s="265">
        <v>94</v>
      </c>
      <c r="B114" s="266" t="s">
        <v>443</v>
      </c>
      <c r="C114" s="266">
        <v>1200</v>
      </c>
      <c r="D114" s="266">
        <v>0.84</v>
      </c>
      <c r="E114" s="266">
        <v>0.34</v>
      </c>
      <c r="F114" s="266">
        <v>4</v>
      </c>
      <c r="G114" s="266">
        <v>6</v>
      </c>
      <c r="H114" s="268">
        <v>0.4</v>
      </c>
      <c r="I114" s="268">
        <v>0.43</v>
      </c>
      <c r="J114" s="270">
        <f t="shared" si="5"/>
        <v>0.37068965517241381</v>
      </c>
      <c r="K114" s="266">
        <v>5.94</v>
      </c>
      <c r="L114" s="266">
        <v>6.41</v>
      </c>
      <c r="M114" s="266">
        <v>9.8000000000000004E-2</v>
      </c>
    </row>
    <row r="115" spans="1:13" ht="13.5" thickBot="1" x14ac:dyDescent="0.25">
      <c r="A115" s="265">
        <v>95</v>
      </c>
      <c r="B115" s="266" t="s">
        <v>443</v>
      </c>
      <c r="C115" s="266">
        <v>1000</v>
      </c>
      <c r="D115" s="266">
        <v>0.84</v>
      </c>
      <c r="E115" s="266">
        <v>0.26</v>
      </c>
      <c r="F115" s="266">
        <v>4</v>
      </c>
      <c r="G115" s="266">
        <v>6</v>
      </c>
      <c r="H115" s="268">
        <v>0.3</v>
      </c>
      <c r="I115" s="268">
        <v>0.34</v>
      </c>
      <c r="J115" s="270">
        <f t="shared" si="5"/>
        <v>0.2931034482758621</v>
      </c>
      <c r="K115" s="266">
        <v>4.6900000000000004</v>
      </c>
      <c r="L115" s="266">
        <v>5.2</v>
      </c>
      <c r="M115" s="266">
        <v>0.11</v>
      </c>
    </row>
    <row r="116" spans="1:13" ht="13.5" thickBot="1" x14ac:dyDescent="0.25">
      <c r="A116" s="265">
        <v>96</v>
      </c>
      <c r="B116" s="266" t="s">
        <v>443</v>
      </c>
      <c r="C116" s="266">
        <v>800</v>
      </c>
      <c r="D116" s="266">
        <v>0.84</v>
      </c>
      <c r="E116" s="266">
        <v>0.19</v>
      </c>
      <c r="F116" s="266">
        <v>4</v>
      </c>
      <c r="G116" s="266">
        <v>6</v>
      </c>
      <c r="H116" s="268">
        <v>0.22</v>
      </c>
      <c r="I116" s="268">
        <v>0.26</v>
      </c>
      <c r="J116" s="270">
        <f t="shared" si="5"/>
        <v>0.22413793103448279</v>
      </c>
      <c r="K116" s="266">
        <v>3.6</v>
      </c>
      <c r="L116" s="266">
        <v>4.07</v>
      </c>
      <c r="M116" s="266">
        <v>0.12</v>
      </c>
    </row>
    <row r="117" spans="1:13" ht="13.5" thickBot="1" x14ac:dyDescent="0.25">
      <c r="A117" s="265">
        <v>97</v>
      </c>
      <c r="B117" s="269" t="s">
        <v>489</v>
      </c>
      <c r="C117" s="266">
        <v>1600</v>
      </c>
      <c r="D117" s="266">
        <v>0.84</v>
      </c>
      <c r="E117" s="266">
        <v>0.52</v>
      </c>
      <c r="F117" s="266">
        <v>7</v>
      </c>
      <c r="G117" s="266">
        <v>10</v>
      </c>
      <c r="H117" s="268">
        <v>0.64</v>
      </c>
      <c r="I117" s="268">
        <v>0.7</v>
      </c>
      <c r="J117" s="270">
        <f t="shared" si="5"/>
        <v>0.60344827586206895</v>
      </c>
      <c r="K117" s="266">
        <v>9.1999999999999993</v>
      </c>
      <c r="L117" s="266">
        <v>10.14</v>
      </c>
      <c r="M117" s="266">
        <v>7.4999999999999997E-2</v>
      </c>
    </row>
    <row r="118" spans="1:13" ht="13.5" thickBot="1" x14ac:dyDescent="0.25">
      <c r="A118" s="265">
        <v>98</v>
      </c>
      <c r="B118" s="266" t="s">
        <v>446</v>
      </c>
      <c r="C118" s="266">
        <v>1400</v>
      </c>
      <c r="D118" s="266">
        <v>0.84</v>
      </c>
      <c r="E118" s="266">
        <v>0.41</v>
      </c>
      <c r="F118" s="266">
        <v>7</v>
      </c>
      <c r="G118" s="266">
        <v>10</v>
      </c>
      <c r="H118" s="268">
        <v>0.52</v>
      </c>
      <c r="I118" s="268">
        <v>0.57999999999999996</v>
      </c>
      <c r="J118" s="270">
        <f t="shared" si="5"/>
        <v>0.5</v>
      </c>
      <c r="K118" s="266">
        <v>7.76</v>
      </c>
      <c r="L118" s="266">
        <v>8.6300000000000008</v>
      </c>
      <c r="M118" s="266">
        <v>8.3000000000000004E-2</v>
      </c>
    </row>
    <row r="119" spans="1:13" ht="13.5" thickBot="1" x14ac:dyDescent="0.25">
      <c r="A119" s="265">
        <v>99</v>
      </c>
      <c r="B119" s="266" t="s">
        <v>443</v>
      </c>
      <c r="C119" s="266">
        <v>1200</v>
      </c>
      <c r="D119" s="266">
        <v>0.84</v>
      </c>
      <c r="E119" s="266">
        <v>0.33</v>
      </c>
      <c r="F119" s="266">
        <v>7</v>
      </c>
      <c r="G119" s="266">
        <v>10</v>
      </c>
      <c r="H119" s="268">
        <v>0.41</v>
      </c>
      <c r="I119" s="268">
        <v>0.47</v>
      </c>
      <c r="J119" s="270">
        <f t="shared" si="5"/>
        <v>0.40517241379310348</v>
      </c>
      <c r="K119" s="266">
        <v>6.38</v>
      </c>
      <c r="L119" s="266">
        <v>7.2</v>
      </c>
      <c r="M119" s="266">
        <v>0.09</v>
      </c>
    </row>
    <row r="120" spans="1:13" ht="13.5" thickBot="1" x14ac:dyDescent="0.25">
      <c r="A120" s="265">
        <v>100</v>
      </c>
      <c r="B120" s="269" t="s">
        <v>489</v>
      </c>
      <c r="C120" s="266">
        <v>1000</v>
      </c>
      <c r="D120" s="266">
        <v>0.84</v>
      </c>
      <c r="E120" s="266">
        <v>0.24</v>
      </c>
      <c r="F120" s="266">
        <v>7</v>
      </c>
      <c r="G120" s="266">
        <v>10</v>
      </c>
      <c r="H120" s="268">
        <v>0.28999999999999998</v>
      </c>
      <c r="I120" s="268">
        <v>0.35</v>
      </c>
      <c r="J120" s="270">
        <f t="shared" si="5"/>
        <v>0.30172413793103448</v>
      </c>
      <c r="K120" s="266">
        <v>4.9000000000000004</v>
      </c>
      <c r="L120" s="266">
        <v>5.67</v>
      </c>
      <c r="M120" s="266">
        <v>9.8000000000000004E-2</v>
      </c>
    </row>
    <row r="121" spans="1:13" ht="13.5" thickBot="1" x14ac:dyDescent="0.25">
      <c r="A121" s="265">
        <v>101</v>
      </c>
      <c r="B121" s="266" t="s">
        <v>446</v>
      </c>
      <c r="C121" s="266">
        <v>800</v>
      </c>
      <c r="D121" s="266">
        <v>0.84</v>
      </c>
      <c r="E121" s="266">
        <v>0.2</v>
      </c>
      <c r="F121" s="266">
        <v>7</v>
      </c>
      <c r="G121" s="266">
        <v>10</v>
      </c>
      <c r="H121" s="268">
        <v>0.23</v>
      </c>
      <c r="I121" s="268">
        <v>0.28999999999999998</v>
      </c>
      <c r="J121" s="270">
        <f t="shared" si="5"/>
        <v>0.25</v>
      </c>
      <c r="K121" s="266">
        <v>3.9</v>
      </c>
      <c r="L121" s="266">
        <v>4.6100000000000003</v>
      </c>
      <c r="M121" s="266">
        <v>0.11</v>
      </c>
    </row>
    <row r="122" spans="1:13" ht="13.5" thickBot="1" x14ac:dyDescent="0.25">
      <c r="A122" s="431" t="s">
        <v>490</v>
      </c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  <c r="L122" s="432"/>
      <c r="M122" s="433"/>
    </row>
    <row r="123" spans="1:13" ht="26.25" thickBot="1" x14ac:dyDescent="0.25">
      <c r="A123" s="265">
        <v>102</v>
      </c>
      <c r="B123" s="269" t="s">
        <v>491</v>
      </c>
      <c r="C123" s="266">
        <v>1800</v>
      </c>
      <c r="D123" s="266">
        <v>0.84</v>
      </c>
      <c r="E123" s="266">
        <v>0.66</v>
      </c>
      <c r="F123" s="266">
        <v>5</v>
      </c>
      <c r="G123" s="266">
        <v>10</v>
      </c>
      <c r="H123" s="268">
        <v>0.8</v>
      </c>
      <c r="I123" s="268">
        <v>0.92</v>
      </c>
      <c r="J123" s="270">
        <f t="shared" ref="J123:J154" si="6">I123/1.16</f>
        <v>0.79310344827586221</v>
      </c>
      <c r="K123" s="266">
        <v>10.5</v>
      </c>
      <c r="L123" s="266">
        <v>12.33</v>
      </c>
      <c r="M123" s="266">
        <v>0.09</v>
      </c>
    </row>
    <row r="124" spans="1:13" ht="13.5" thickBot="1" x14ac:dyDescent="0.25">
      <c r="A124" s="265">
        <v>103</v>
      </c>
      <c r="B124" s="266" t="s">
        <v>446</v>
      </c>
      <c r="C124" s="266">
        <v>1600</v>
      </c>
      <c r="D124" s="266">
        <v>0.84</v>
      </c>
      <c r="E124" s="266">
        <v>0.57999999999999996</v>
      </c>
      <c r="F124" s="266">
        <v>5</v>
      </c>
      <c r="G124" s="266">
        <v>10</v>
      </c>
      <c r="H124" s="268">
        <v>0.67</v>
      </c>
      <c r="I124" s="268">
        <v>0.79</v>
      </c>
      <c r="J124" s="270">
        <f t="shared" si="6"/>
        <v>0.68103448275862077</v>
      </c>
      <c r="K124" s="266">
        <v>9.06</v>
      </c>
      <c r="L124" s="266">
        <v>10.77</v>
      </c>
      <c r="M124" s="266">
        <v>0.09</v>
      </c>
    </row>
    <row r="125" spans="1:13" ht="13.5" thickBot="1" x14ac:dyDescent="0.25">
      <c r="A125" s="265">
        <v>104</v>
      </c>
      <c r="B125" s="266" t="s">
        <v>443</v>
      </c>
      <c r="C125" s="266">
        <v>1400</v>
      </c>
      <c r="D125" s="266">
        <v>0.84</v>
      </c>
      <c r="E125" s="266">
        <v>0.47</v>
      </c>
      <c r="F125" s="266">
        <v>5</v>
      </c>
      <c r="G125" s="266">
        <v>10</v>
      </c>
      <c r="H125" s="268">
        <v>0.56000000000000005</v>
      </c>
      <c r="I125" s="268">
        <v>0.65</v>
      </c>
      <c r="J125" s="270">
        <f t="shared" si="6"/>
        <v>0.56034482758620696</v>
      </c>
      <c r="K125" s="266">
        <v>7.75</v>
      </c>
      <c r="L125" s="266">
        <v>9.14</v>
      </c>
      <c r="M125" s="266">
        <v>9.8000000000000004E-2</v>
      </c>
    </row>
    <row r="126" spans="1:13" ht="13.5" thickBot="1" x14ac:dyDescent="0.25">
      <c r="A126" s="265">
        <v>105</v>
      </c>
      <c r="B126" s="266" t="s">
        <v>443</v>
      </c>
      <c r="C126" s="266">
        <v>1200</v>
      </c>
      <c r="D126" s="266">
        <v>0.84</v>
      </c>
      <c r="E126" s="266">
        <v>0.36</v>
      </c>
      <c r="F126" s="266">
        <v>5</v>
      </c>
      <c r="G126" s="266">
        <v>10</v>
      </c>
      <c r="H126" s="268">
        <v>0.44</v>
      </c>
      <c r="I126" s="268">
        <v>0.52</v>
      </c>
      <c r="J126" s="270">
        <f t="shared" si="6"/>
        <v>0.44827586206896558</v>
      </c>
      <c r="K126" s="266">
        <v>6.36</v>
      </c>
      <c r="L126" s="266">
        <v>7.57</v>
      </c>
      <c r="M126" s="266">
        <v>0.11</v>
      </c>
    </row>
    <row r="127" spans="1:13" ht="13.5" thickBot="1" x14ac:dyDescent="0.25">
      <c r="A127" s="265">
        <v>106</v>
      </c>
      <c r="B127" s="266" t="s">
        <v>443</v>
      </c>
      <c r="C127" s="266">
        <v>1000</v>
      </c>
      <c r="D127" s="266">
        <v>0.84</v>
      </c>
      <c r="E127" s="266">
        <v>0.27</v>
      </c>
      <c r="F127" s="266">
        <v>5</v>
      </c>
      <c r="G127" s="266">
        <v>10</v>
      </c>
      <c r="H127" s="268">
        <v>0.33</v>
      </c>
      <c r="I127" s="268">
        <v>0.41</v>
      </c>
      <c r="J127" s="270">
        <f t="shared" si="6"/>
        <v>0.35344827586206895</v>
      </c>
      <c r="K127" s="266">
        <v>5.03</v>
      </c>
      <c r="L127" s="266">
        <v>6.13</v>
      </c>
      <c r="M127" s="266">
        <v>0.14000000000000001</v>
      </c>
    </row>
    <row r="128" spans="1:13" ht="13.5" thickBot="1" x14ac:dyDescent="0.25">
      <c r="A128" s="265">
        <v>107</v>
      </c>
      <c r="B128" s="266" t="s">
        <v>443</v>
      </c>
      <c r="C128" s="266">
        <v>800</v>
      </c>
      <c r="D128" s="266">
        <v>0.84</v>
      </c>
      <c r="E128" s="266">
        <v>0.21</v>
      </c>
      <c r="F128" s="266">
        <v>5</v>
      </c>
      <c r="G128" s="266">
        <v>10</v>
      </c>
      <c r="H128" s="268">
        <v>0.24</v>
      </c>
      <c r="I128" s="268">
        <v>0.31</v>
      </c>
      <c r="J128" s="270">
        <f t="shared" si="6"/>
        <v>0.26724137931034486</v>
      </c>
      <c r="K128" s="266">
        <v>3.83</v>
      </c>
      <c r="L128" s="266">
        <v>4.7699999999999996</v>
      </c>
      <c r="M128" s="266">
        <v>0.19</v>
      </c>
    </row>
    <row r="129" spans="1:13" ht="13.5" thickBot="1" x14ac:dyDescent="0.25">
      <c r="A129" s="265">
        <v>108</v>
      </c>
      <c r="B129" s="266" t="s">
        <v>443</v>
      </c>
      <c r="C129" s="266">
        <v>600</v>
      </c>
      <c r="D129" s="266">
        <v>0.84</v>
      </c>
      <c r="E129" s="266">
        <v>0.16</v>
      </c>
      <c r="F129" s="266">
        <v>5</v>
      </c>
      <c r="G129" s="266">
        <v>10</v>
      </c>
      <c r="H129" s="268">
        <v>0.2</v>
      </c>
      <c r="I129" s="268">
        <v>0.26</v>
      </c>
      <c r="J129" s="270">
        <f t="shared" si="6"/>
        <v>0.22413793103448279</v>
      </c>
      <c r="K129" s="266">
        <v>3.03</v>
      </c>
      <c r="L129" s="266">
        <v>3.78</v>
      </c>
      <c r="M129" s="266">
        <v>0.26</v>
      </c>
    </row>
    <row r="130" spans="1:13" ht="13.5" thickBot="1" x14ac:dyDescent="0.25">
      <c r="A130" s="265">
        <v>109</v>
      </c>
      <c r="B130" s="266" t="s">
        <v>443</v>
      </c>
      <c r="C130" s="266">
        <v>500</v>
      </c>
      <c r="D130" s="266">
        <v>0.84</v>
      </c>
      <c r="E130" s="266">
        <v>0.14000000000000001</v>
      </c>
      <c r="F130" s="266">
        <v>5</v>
      </c>
      <c r="G130" s="266">
        <v>10</v>
      </c>
      <c r="H130" s="268">
        <v>0.17</v>
      </c>
      <c r="I130" s="268">
        <v>0.23</v>
      </c>
      <c r="J130" s="270">
        <f t="shared" si="6"/>
        <v>0.19827586206896555</v>
      </c>
      <c r="K130" s="266">
        <v>2.5499999999999998</v>
      </c>
      <c r="L130" s="266">
        <v>3.25</v>
      </c>
      <c r="M130" s="266">
        <v>0.3</v>
      </c>
    </row>
    <row r="131" spans="1:13" ht="26.25" thickBot="1" x14ac:dyDescent="0.25">
      <c r="A131" s="265">
        <v>110</v>
      </c>
      <c r="B131" s="269" t="s">
        <v>492</v>
      </c>
      <c r="C131" s="266">
        <v>1200</v>
      </c>
      <c r="D131" s="266">
        <v>0.84</v>
      </c>
      <c r="E131" s="266">
        <v>0.41</v>
      </c>
      <c r="F131" s="266">
        <v>4</v>
      </c>
      <c r="G131" s="266">
        <v>8</v>
      </c>
      <c r="H131" s="268">
        <v>0.52</v>
      </c>
      <c r="I131" s="268">
        <v>0.57999999999999996</v>
      </c>
      <c r="J131" s="270">
        <f t="shared" si="6"/>
        <v>0.5</v>
      </c>
      <c r="K131" s="266">
        <v>6.77</v>
      </c>
      <c r="L131" s="266">
        <v>7.72</v>
      </c>
      <c r="M131" s="266">
        <v>7.4999999999999997E-2</v>
      </c>
    </row>
    <row r="132" spans="1:13" ht="13.5" thickBot="1" x14ac:dyDescent="0.25">
      <c r="A132" s="265">
        <v>111</v>
      </c>
      <c r="B132" s="266" t="s">
        <v>446</v>
      </c>
      <c r="C132" s="266">
        <v>1000</v>
      </c>
      <c r="D132" s="266">
        <v>0.84</v>
      </c>
      <c r="E132" s="266">
        <v>0.33</v>
      </c>
      <c r="F132" s="266">
        <v>4</v>
      </c>
      <c r="G132" s="266">
        <v>8</v>
      </c>
      <c r="H132" s="268">
        <v>0.41</v>
      </c>
      <c r="I132" s="268">
        <v>0.47</v>
      </c>
      <c r="J132" s="270">
        <f t="shared" si="6"/>
        <v>0.40517241379310348</v>
      </c>
      <c r="K132" s="266">
        <v>5.49</v>
      </c>
      <c r="L132" s="266">
        <v>6.35</v>
      </c>
      <c r="M132" s="266">
        <v>7.4999999999999997E-2</v>
      </c>
    </row>
    <row r="133" spans="1:13" ht="13.5" thickBot="1" x14ac:dyDescent="0.25">
      <c r="A133" s="265">
        <v>112</v>
      </c>
      <c r="B133" s="266" t="s">
        <v>443</v>
      </c>
      <c r="C133" s="266">
        <v>800</v>
      </c>
      <c r="D133" s="266">
        <v>0.84</v>
      </c>
      <c r="E133" s="266">
        <v>0.23</v>
      </c>
      <c r="F133" s="266">
        <v>4</v>
      </c>
      <c r="G133" s="266">
        <v>8</v>
      </c>
      <c r="H133" s="268">
        <v>0.28999999999999998</v>
      </c>
      <c r="I133" s="268">
        <v>0.35</v>
      </c>
      <c r="J133" s="270">
        <f t="shared" si="6"/>
        <v>0.30172413793103448</v>
      </c>
      <c r="K133" s="266">
        <v>4.13</v>
      </c>
      <c r="L133" s="266">
        <v>4.9000000000000004</v>
      </c>
      <c r="M133" s="266">
        <v>7.4999999999999997E-2</v>
      </c>
    </row>
    <row r="134" spans="1:13" ht="13.5" thickBot="1" x14ac:dyDescent="0.25">
      <c r="A134" s="265">
        <v>113</v>
      </c>
      <c r="B134" s="269" t="s">
        <v>493</v>
      </c>
      <c r="C134" s="266">
        <v>1000</v>
      </c>
      <c r="D134" s="266">
        <v>0.84</v>
      </c>
      <c r="E134" s="266">
        <v>0.28000000000000003</v>
      </c>
      <c r="F134" s="266">
        <v>9</v>
      </c>
      <c r="G134" s="266">
        <v>13</v>
      </c>
      <c r="H134" s="268">
        <v>0.35</v>
      </c>
      <c r="I134" s="268">
        <v>0.41</v>
      </c>
      <c r="J134" s="270">
        <f t="shared" si="6"/>
        <v>0.35344827586206895</v>
      </c>
      <c r="K134" s="266">
        <v>5.57</v>
      </c>
      <c r="L134" s="266">
        <v>6.43</v>
      </c>
      <c r="M134" s="266">
        <v>0.15</v>
      </c>
    </row>
    <row r="135" spans="1:13" ht="13.5" thickBot="1" x14ac:dyDescent="0.25">
      <c r="A135" s="265">
        <v>114</v>
      </c>
      <c r="B135" s="266" t="s">
        <v>446</v>
      </c>
      <c r="C135" s="266">
        <v>800</v>
      </c>
      <c r="D135" s="266">
        <v>0.84</v>
      </c>
      <c r="E135" s="266">
        <v>0.22</v>
      </c>
      <c r="F135" s="266">
        <v>9</v>
      </c>
      <c r="G135" s="266">
        <v>13</v>
      </c>
      <c r="H135" s="268">
        <v>0.28999999999999998</v>
      </c>
      <c r="I135" s="268">
        <v>0.35</v>
      </c>
      <c r="J135" s="270">
        <f t="shared" si="6"/>
        <v>0.30172413793103448</v>
      </c>
      <c r="K135" s="266">
        <v>4.54</v>
      </c>
      <c r="L135" s="266">
        <v>5.32</v>
      </c>
      <c r="M135" s="266">
        <v>0.17</v>
      </c>
    </row>
    <row r="136" spans="1:13" ht="13.5" thickBot="1" x14ac:dyDescent="0.25">
      <c r="A136" s="265">
        <v>115</v>
      </c>
      <c r="B136" s="269" t="s">
        <v>494</v>
      </c>
      <c r="C136" s="266">
        <v>1400</v>
      </c>
      <c r="D136" s="266">
        <v>0.84</v>
      </c>
      <c r="E136" s="266">
        <v>0.49</v>
      </c>
      <c r="F136" s="266">
        <v>4</v>
      </c>
      <c r="G136" s="266">
        <v>7</v>
      </c>
      <c r="H136" s="268">
        <v>0.56000000000000005</v>
      </c>
      <c r="I136" s="268">
        <v>0.64</v>
      </c>
      <c r="J136" s="270">
        <f t="shared" si="6"/>
        <v>0.55172413793103459</v>
      </c>
      <c r="K136" s="266">
        <v>7.59</v>
      </c>
      <c r="L136" s="266">
        <v>8.6</v>
      </c>
      <c r="M136" s="266">
        <v>9.8000000000000004E-2</v>
      </c>
    </row>
    <row r="137" spans="1:13" ht="13.5" thickBot="1" x14ac:dyDescent="0.25">
      <c r="A137" s="265">
        <v>116</v>
      </c>
      <c r="B137" s="266" t="s">
        <v>443</v>
      </c>
      <c r="C137" s="266">
        <v>1200</v>
      </c>
      <c r="D137" s="266">
        <v>0.84</v>
      </c>
      <c r="E137" s="266">
        <v>0.36</v>
      </c>
      <c r="F137" s="266">
        <v>4</v>
      </c>
      <c r="G137" s="266">
        <v>7</v>
      </c>
      <c r="H137" s="268">
        <v>0.44</v>
      </c>
      <c r="I137" s="268">
        <v>0.5</v>
      </c>
      <c r="J137" s="270">
        <f t="shared" si="6"/>
        <v>0.43103448275862072</v>
      </c>
      <c r="K137" s="266">
        <v>6.23</v>
      </c>
      <c r="L137" s="266">
        <v>7.04</v>
      </c>
      <c r="M137" s="266">
        <v>0.11</v>
      </c>
    </row>
    <row r="138" spans="1:13" ht="13.5" thickBot="1" x14ac:dyDescent="0.25">
      <c r="A138" s="265">
        <v>117</v>
      </c>
      <c r="B138" s="266" t="s">
        <v>443</v>
      </c>
      <c r="C138" s="266">
        <v>1000</v>
      </c>
      <c r="D138" s="266">
        <v>0.84</v>
      </c>
      <c r="E138" s="266">
        <v>0.27</v>
      </c>
      <c r="F138" s="266">
        <v>4</v>
      </c>
      <c r="G138" s="266">
        <v>7</v>
      </c>
      <c r="H138" s="268">
        <v>0.33</v>
      </c>
      <c r="I138" s="268">
        <v>0.38</v>
      </c>
      <c r="J138" s="270">
        <f t="shared" si="6"/>
        <v>0.32758620689655177</v>
      </c>
      <c r="K138" s="266">
        <v>4.92</v>
      </c>
      <c r="L138" s="266">
        <v>5.6</v>
      </c>
      <c r="M138" s="266">
        <v>0.14000000000000001</v>
      </c>
    </row>
    <row r="139" spans="1:13" ht="13.5" thickBot="1" x14ac:dyDescent="0.25">
      <c r="A139" s="265">
        <v>118</v>
      </c>
      <c r="B139" s="269" t="s">
        <v>170</v>
      </c>
      <c r="C139" s="266">
        <v>1200</v>
      </c>
      <c r="D139" s="266">
        <v>0.84</v>
      </c>
      <c r="E139" s="266">
        <v>0.28999999999999998</v>
      </c>
      <c r="F139" s="266">
        <v>10</v>
      </c>
      <c r="G139" s="266">
        <v>15</v>
      </c>
      <c r="H139" s="268">
        <v>0.44</v>
      </c>
      <c r="I139" s="268">
        <v>0.5</v>
      </c>
      <c r="J139" s="270">
        <f t="shared" si="6"/>
        <v>0.43103448275862072</v>
      </c>
      <c r="K139" s="266">
        <v>6.96</v>
      </c>
      <c r="L139" s="266">
        <v>8.01</v>
      </c>
      <c r="M139" s="266">
        <v>0.15</v>
      </c>
    </row>
    <row r="140" spans="1:13" ht="13.5" thickBot="1" x14ac:dyDescent="0.25">
      <c r="A140" s="265">
        <v>119</v>
      </c>
      <c r="B140" s="266" t="s">
        <v>443</v>
      </c>
      <c r="C140" s="266">
        <v>1000</v>
      </c>
      <c r="D140" s="266">
        <v>0.84</v>
      </c>
      <c r="E140" s="266">
        <v>0.22</v>
      </c>
      <c r="F140" s="266">
        <v>10</v>
      </c>
      <c r="G140" s="266">
        <v>15</v>
      </c>
      <c r="H140" s="268">
        <v>0.33</v>
      </c>
      <c r="I140" s="268">
        <v>0.38</v>
      </c>
      <c r="J140" s="270">
        <f t="shared" si="6"/>
        <v>0.32758620689655177</v>
      </c>
      <c r="K140" s="266">
        <v>5.5</v>
      </c>
      <c r="L140" s="266">
        <v>6.38</v>
      </c>
      <c r="M140" s="266">
        <v>0.19</v>
      </c>
    </row>
    <row r="141" spans="1:13" ht="13.5" thickBot="1" x14ac:dyDescent="0.25">
      <c r="A141" s="265">
        <v>120</v>
      </c>
      <c r="B141" s="266" t="s">
        <v>443</v>
      </c>
      <c r="C141" s="266">
        <v>800</v>
      </c>
      <c r="D141" s="266">
        <v>0.84</v>
      </c>
      <c r="E141" s="266">
        <v>0.16</v>
      </c>
      <c r="F141" s="266">
        <v>10</v>
      </c>
      <c r="G141" s="266">
        <v>15</v>
      </c>
      <c r="H141" s="268">
        <v>0.27</v>
      </c>
      <c r="I141" s="268">
        <v>0.33</v>
      </c>
      <c r="J141" s="270">
        <f t="shared" si="6"/>
        <v>0.28448275862068967</v>
      </c>
      <c r="K141" s="266">
        <v>4.45</v>
      </c>
      <c r="L141" s="266">
        <v>5.32</v>
      </c>
      <c r="M141" s="266">
        <v>0.26</v>
      </c>
    </row>
    <row r="142" spans="1:13" ht="13.5" thickBot="1" x14ac:dyDescent="0.25">
      <c r="A142" s="265">
        <v>121</v>
      </c>
      <c r="B142" s="266" t="s">
        <v>443</v>
      </c>
      <c r="C142" s="266">
        <v>600</v>
      </c>
      <c r="D142" s="266">
        <v>0.84</v>
      </c>
      <c r="E142" s="266">
        <v>0.12</v>
      </c>
      <c r="F142" s="266">
        <v>10</v>
      </c>
      <c r="G142" s="266">
        <v>15</v>
      </c>
      <c r="H142" s="268">
        <v>0.19</v>
      </c>
      <c r="I142" s="268">
        <v>0.23</v>
      </c>
      <c r="J142" s="270">
        <f t="shared" si="6"/>
        <v>0.19827586206896555</v>
      </c>
      <c r="K142" s="266">
        <v>3.24</v>
      </c>
      <c r="L142" s="266">
        <v>3.84</v>
      </c>
      <c r="M142" s="266">
        <v>0.3</v>
      </c>
    </row>
    <row r="143" spans="1:13" ht="13.5" thickBot="1" x14ac:dyDescent="0.25">
      <c r="A143" s="265">
        <v>122</v>
      </c>
      <c r="B143" s="269" t="s">
        <v>495</v>
      </c>
      <c r="C143" s="266">
        <v>1800</v>
      </c>
      <c r="D143" s="266">
        <v>0.84</v>
      </c>
      <c r="E143" s="266">
        <v>0.52</v>
      </c>
      <c r="F143" s="266">
        <v>5</v>
      </c>
      <c r="G143" s="266">
        <v>8</v>
      </c>
      <c r="H143" s="268">
        <v>0.63</v>
      </c>
      <c r="I143" s="268">
        <v>0.76</v>
      </c>
      <c r="J143" s="270">
        <f t="shared" si="6"/>
        <v>0.65517241379310354</v>
      </c>
      <c r="K143" s="266">
        <v>9.32</v>
      </c>
      <c r="L143" s="266">
        <v>10.83</v>
      </c>
      <c r="M143" s="266">
        <v>7.4999999999999997E-2</v>
      </c>
    </row>
    <row r="144" spans="1:13" ht="13.5" thickBot="1" x14ac:dyDescent="0.25">
      <c r="A144" s="265">
        <v>123</v>
      </c>
      <c r="B144" s="266" t="s">
        <v>446</v>
      </c>
      <c r="C144" s="266">
        <v>1600</v>
      </c>
      <c r="D144" s="266">
        <v>0.84</v>
      </c>
      <c r="E144" s="266">
        <v>0.41</v>
      </c>
      <c r="F144" s="266">
        <v>5</v>
      </c>
      <c r="G144" s="266">
        <v>8</v>
      </c>
      <c r="H144" s="268">
        <v>0.52</v>
      </c>
      <c r="I144" s="268">
        <v>0.63</v>
      </c>
      <c r="J144" s="270">
        <f t="shared" si="6"/>
        <v>0.5431034482758621</v>
      </c>
      <c r="K144" s="266">
        <v>7.98</v>
      </c>
      <c r="L144" s="266">
        <v>9.2899999999999991</v>
      </c>
      <c r="M144" s="266">
        <v>0.09</v>
      </c>
    </row>
    <row r="145" spans="1:13" ht="13.5" thickBot="1" x14ac:dyDescent="0.25">
      <c r="A145" s="265">
        <v>124</v>
      </c>
      <c r="B145" s="266" t="s">
        <v>443</v>
      </c>
      <c r="C145" s="266">
        <v>1400</v>
      </c>
      <c r="D145" s="266">
        <v>0.84</v>
      </c>
      <c r="E145" s="266">
        <v>0.35</v>
      </c>
      <c r="F145" s="266">
        <v>5</v>
      </c>
      <c r="G145" s="266">
        <v>8</v>
      </c>
      <c r="H145" s="268">
        <v>0.44</v>
      </c>
      <c r="I145" s="268">
        <v>0.52</v>
      </c>
      <c r="J145" s="270">
        <f t="shared" si="6"/>
        <v>0.44827586206896558</v>
      </c>
      <c r="K145" s="266">
        <v>6.87</v>
      </c>
      <c r="L145" s="266">
        <v>7.9</v>
      </c>
      <c r="M145" s="266">
        <v>9.8000000000000004E-2</v>
      </c>
    </row>
    <row r="146" spans="1:13" ht="13.5" thickBot="1" x14ac:dyDescent="0.25">
      <c r="A146" s="265">
        <v>125</v>
      </c>
      <c r="B146" s="266" t="s">
        <v>443</v>
      </c>
      <c r="C146" s="266">
        <v>1200</v>
      </c>
      <c r="D146" s="266">
        <v>0.84</v>
      </c>
      <c r="E146" s="266">
        <v>0.28999999999999998</v>
      </c>
      <c r="F146" s="266">
        <v>5</v>
      </c>
      <c r="G146" s="266">
        <v>8</v>
      </c>
      <c r="H146" s="268">
        <v>0.37</v>
      </c>
      <c r="I146" s="268">
        <v>0.44</v>
      </c>
      <c r="J146" s="270">
        <f t="shared" si="6"/>
        <v>0.37931034482758624</v>
      </c>
      <c r="K146" s="266">
        <v>5.83</v>
      </c>
      <c r="L146" s="266">
        <v>6.73</v>
      </c>
      <c r="M146" s="266">
        <v>0.11</v>
      </c>
    </row>
    <row r="147" spans="1:13" ht="13.5" thickBot="1" x14ac:dyDescent="0.25">
      <c r="A147" s="265">
        <v>126</v>
      </c>
      <c r="B147" s="266" t="s">
        <v>443</v>
      </c>
      <c r="C147" s="266">
        <v>1000</v>
      </c>
      <c r="D147" s="266">
        <v>0.84</v>
      </c>
      <c r="E147" s="266">
        <v>0.23</v>
      </c>
      <c r="F147" s="266">
        <v>5</v>
      </c>
      <c r="G147" s="266">
        <v>8</v>
      </c>
      <c r="H147" s="268">
        <v>0.31</v>
      </c>
      <c r="I147" s="268">
        <v>0.37</v>
      </c>
      <c r="J147" s="270">
        <f t="shared" si="6"/>
        <v>0.31896551724137934</v>
      </c>
      <c r="K147" s="266">
        <v>4.87</v>
      </c>
      <c r="L147" s="266">
        <v>5.63</v>
      </c>
      <c r="M147" s="266">
        <v>0.11</v>
      </c>
    </row>
    <row r="148" spans="1:13" ht="13.5" thickBot="1" x14ac:dyDescent="0.25">
      <c r="A148" s="265">
        <v>127</v>
      </c>
      <c r="B148" s="269" t="s">
        <v>496</v>
      </c>
      <c r="C148" s="266">
        <v>1600</v>
      </c>
      <c r="D148" s="266">
        <v>0.84</v>
      </c>
      <c r="E148" s="266">
        <v>0.47</v>
      </c>
      <c r="F148" s="266">
        <v>8</v>
      </c>
      <c r="G148" s="266">
        <v>11</v>
      </c>
      <c r="H148" s="268">
        <v>0.63</v>
      </c>
      <c r="I148" s="268">
        <v>0.7</v>
      </c>
      <c r="J148" s="270">
        <f t="shared" si="6"/>
        <v>0.60344827586206895</v>
      </c>
      <c r="K148" s="266">
        <v>9.2899999999999991</v>
      </c>
      <c r="L148" s="266">
        <v>10.31</v>
      </c>
      <c r="M148" s="266">
        <v>0.09</v>
      </c>
    </row>
    <row r="149" spans="1:13" ht="13.5" thickBot="1" x14ac:dyDescent="0.25">
      <c r="A149" s="265">
        <v>128</v>
      </c>
      <c r="B149" s="266" t="s">
        <v>446</v>
      </c>
      <c r="C149" s="266">
        <v>1400</v>
      </c>
      <c r="D149" s="266">
        <v>0.84</v>
      </c>
      <c r="E149" s="266">
        <v>0.35</v>
      </c>
      <c r="F149" s="266">
        <v>8</v>
      </c>
      <c r="G149" s="266">
        <v>11</v>
      </c>
      <c r="H149" s="268">
        <v>0.52</v>
      </c>
      <c r="I149" s="268">
        <v>0.57999999999999996</v>
      </c>
      <c r="J149" s="270">
        <f t="shared" si="6"/>
        <v>0.5</v>
      </c>
      <c r="K149" s="266">
        <v>7.9</v>
      </c>
      <c r="L149" s="266">
        <v>8.7799999999999994</v>
      </c>
      <c r="M149" s="266">
        <v>9.8000000000000004E-2</v>
      </c>
    </row>
    <row r="150" spans="1:13" ht="13.5" thickBot="1" x14ac:dyDescent="0.25">
      <c r="A150" s="265">
        <v>129</v>
      </c>
      <c r="B150" s="266" t="s">
        <v>443</v>
      </c>
      <c r="C150" s="266">
        <v>1200</v>
      </c>
      <c r="D150" s="266">
        <v>0.84</v>
      </c>
      <c r="E150" s="266">
        <v>0.28999999999999998</v>
      </c>
      <c r="F150" s="266">
        <v>8</v>
      </c>
      <c r="G150" s="266">
        <v>11</v>
      </c>
      <c r="H150" s="268">
        <v>0.41</v>
      </c>
      <c r="I150" s="268">
        <v>0.47</v>
      </c>
      <c r="J150" s="270">
        <f t="shared" si="6"/>
        <v>0.40517241379310348</v>
      </c>
      <c r="K150" s="266">
        <v>6.49</v>
      </c>
      <c r="L150" s="266">
        <v>7.31</v>
      </c>
      <c r="M150" s="266">
        <v>0.11</v>
      </c>
    </row>
    <row r="151" spans="1:13" ht="13.5" thickBot="1" x14ac:dyDescent="0.25">
      <c r="A151" s="265">
        <v>130</v>
      </c>
      <c r="B151" s="266" t="s">
        <v>443</v>
      </c>
      <c r="C151" s="266">
        <v>1000</v>
      </c>
      <c r="D151" s="266">
        <v>0.84</v>
      </c>
      <c r="E151" s="266">
        <v>0.23</v>
      </c>
      <c r="F151" s="266">
        <v>8</v>
      </c>
      <c r="G151" s="266">
        <v>11</v>
      </c>
      <c r="H151" s="268">
        <v>0.35</v>
      </c>
      <c r="I151" s="268">
        <v>0.41</v>
      </c>
      <c r="J151" s="270">
        <f t="shared" si="6"/>
        <v>0.35344827586206895</v>
      </c>
      <c r="K151" s="266">
        <v>5.48</v>
      </c>
      <c r="L151" s="266">
        <v>6.24</v>
      </c>
      <c r="M151" s="266">
        <v>0.11</v>
      </c>
    </row>
    <row r="152" spans="1:13" ht="13.5" thickBot="1" x14ac:dyDescent="0.25">
      <c r="A152" s="265">
        <v>131</v>
      </c>
      <c r="B152" s="266" t="s">
        <v>443</v>
      </c>
      <c r="C152" s="266">
        <v>800</v>
      </c>
      <c r="D152" s="266">
        <v>0.84</v>
      </c>
      <c r="E152" s="266">
        <v>0.17</v>
      </c>
      <c r="F152" s="266">
        <v>8</v>
      </c>
      <c r="G152" s="266">
        <v>11</v>
      </c>
      <c r="H152" s="268">
        <v>0.28999999999999998</v>
      </c>
      <c r="I152" s="268">
        <v>0.35</v>
      </c>
      <c r="J152" s="270">
        <f t="shared" si="6"/>
        <v>0.30172413793103448</v>
      </c>
      <c r="K152" s="266">
        <v>4.46</v>
      </c>
      <c r="L152" s="266">
        <v>5.15</v>
      </c>
      <c r="M152" s="266">
        <v>0.13</v>
      </c>
    </row>
    <row r="153" spans="1:13" ht="13.5" thickBot="1" x14ac:dyDescent="0.25">
      <c r="A153" s="265">
        <v>132</v>
      </c>
      <c r="B153" s="269" t="s">
        <v>497</v>
      </c>
      <c r="C153" s="266">
        <v>1800</v>
      </c>
      <c r="D153" s="266">
        <v>0.84</v>
      </c>
      <c r="E153" s="266">
        <v>0.57999999999999996</v>
      </c>
      <c r="F153" s="266">
        <v>5</v>
      </c>
      <c r="G153" s="266">
        <v>8</v>
      </c>
      <c r="H153" s="268">
        <v>0.7</v>
      </c>
      <c r="I153" s="268">
        <v>0.81</v>
      </c>
      <c r="J153" s="270">
        <f t="shared" si="6"/>
        <v>0.69827586206896564</v>
      </c>
      <c r="K153" s="266">
        <v>9.82</v>
      </c>
      <c r="L153" s="266">
        <v>11.18</v>
      </c>
      <c r="M153" s="266">
        <v>8.3000000000000004E-2</v>
      </c>
    </row>
    <row r="154" spans="1:13" ht="13.5" thickBot="1" x14ac:dyDescent="0.25">
      <c r="A154" s="265">
        <v>133</v>
      </c>
      <c r="B154" s="266" t="s">
        <v>446</v>
      </c>
      <c r="C154" s="266">
        <v>1600</v>
      </c>
      <c r="D154" s="266">
        <v>0.84</v>
      </c>
      <c r="E154" s="266">
        <v>0.47</v>
      </c>
      <c r="F154" s="266">
        <v>5</v>
      </c>
      <c r="G154" s="266">
        <v>8</v>
      </c>
      <c r="H154" s="268">
        <v>0.57999999999999996</v>
      </c>
      <c r="I154" s="268">
        <v>0.64</v>
      </c>
      <c r="J154" s="270">
        <f t="shared" si="6"/>
        <v>0.55172413793103459</v>
      </c>
      <c r="K154" s="266">
        <v>8.43</v>
      </c>
      <c r="L154" s="266">
        <v>9.3699999999999992</v>
      </c>
      <c r="M154" s="266">
        <v>0.09</v>
      </c>
    </row>
    <row r="155" spans="1:13" ht="13.5" thickBot="1" x14ac:dyDescent="0.25">
      <c r="A155" s="265">
        <v>134</v>
      </c>
      <c r="B155" s="266" t="s">
        <v>443</v>
      </c>
      <c r="C155" s="266">
        <v>1400</v>
      </c>
      <c r="D155" s="266">
        <v>0.84</v>
      </c>
      <c r="E155" s="266">
        <v>0.41</v>
      </c>
      <c r="F155" s="266">
        <v>5</v>
      </c>
      <c r="G155" s="266">
        <v>8</v>
      </c>
      <c r="H155" s="268">
        <v>0.52</v>
      </c>
      <c r="I155" s="268">
        <v>0.57999999999999996</v>
      </c>
      <c r="J155" s="270">
        <f t="shared" ref="J155:J174" si="7">I155/1.16</f>
        <v>0.5</v>
      </c>
      <c r="K155" s="266">
        <v>7.46</v>
      </c>
      <c r="L155" s="266">
        <v>8.34</v>
      </c>
      <c r="M155" s="266">
        <v>9.8000000000000004E-2</v>
      </c>
    </row>
    <row r="156" spans="1:13" ht="13.5" thickBot="1" x14ac:dyDescent="0.25">
      <c r="A156" s="265">
        <v>135</v>
      </c>
      <c r="B156" s="266" t="s">
        <v>443</v>
      </c>
      <c r="C156" s="266">
        <v>1200</v>
      </c>
      <c r="D156" s="266">
        <v>0.84</v>
      </c>
      <c r="E156" s="266">
        <v>0.35</v>
      </c>
      <c r="F156" s="266">
        <v>5</v>
      </c>
      <c r="G156" s="266">
        <v>8</v>
      </c>
      <c r="H156" s="268">
        <v>0.47</v>
      </c>
      <c r="I156" s="268">
        <v>0.52</v>
      </c>
      <c r="J156" s="270">
        <f t="shared" si="7"/>
        <v>0.44827586206896558</v>
      </c>
      <c r="K156" s="266">
        <v>6.57</v>
      </c>
      <c r="L156" s="266">
        <v>7.31</v>
      </c>
      <c r="M156" s="266">
        <v>0.11</v>
      </c>
    </row>
    <row r="157" spans="1:13" ht="26.25" thickBot="1" x14ac:dyDescent="0.25">
      <c r="A157" s="265">
        <v>136</v>
      </c>
      <c r="B157" s="269" t="s">
        <v>498</v>
      </c>
      <c r="C157" s="266">
        <v>1800</v>
      </c>
      <c r="D157" s="266">
        <v>0.84</v>
      </c>
      <c r="E157" s="266">
        <v>0.7</v>
      </c>
      <c r="F157" s="266">
        <v>5</v>
      </c>
      <c r="G157" s="266">
        <v>8</v>
      </c>
      <c r="H157" s="268">
        <v>0.85</v>
      </c>
      <c r="I157" s="268">
        <v>0.93</v>
      </c>
      <c r="J157" s="270">
        <f t="shared" si="7"/>
        <v>0.80172413793103459</v>
      </c>
      <c r="K157" s="266">
        <v>10.82</v>
      </c>
      <c r="L157" s="266">
        <v>11.98</v>
      </c>
      <c r="M157" s="266">
        <v>7.4999999999999997E-2</v>
      </c>
    </row>
    <row r="158" spans="1:13" ht="13.5" thickBot="1" x14ac:dyDescent="0.25">
      <c r="A158" s="265">
        <v>137</v>
      </c>
      <c r="B158" s="266" t="s">
        <v>446</v>
      </c>
      <c r="C158" s="266">
        <v>1600</v>
      </c>
      <c r="D158" s="266">
        <v>0.84</v>
      </c>
      <c r="E158" s="266">
        <v>0.57999999999999996</v>
      </c>
      <c r="F158" s="266">
        <v>5</v>
      </c>
      <c r="G158" s="266">
        <v>8</v>
      </c>
      <c r="H158" s="268">
        <v>0.72</v>
      </c>
      <c r="I158" s="268">
        <v>0.78</v>
      </c>
      <c r="J158" s="270">
        <f t="shared" si="7"/>
        <v>0.6724137931034484</v>
      </c>
      <c r="K158" s="266">
        <v>9.39</v>
      </c>
      <c r="L158" s="266">
        <v>10.34</v>
      </c>
      <c r="M158" s="266">
        <v>8.3000000000000004E-2</v>
      </c>
    </row>
    <row r="159" spans="1:13" ht="13.5" thickBot="1" x14ac:dyDescent="0.25">
      <c r="A159" s="265">
        <v>138</v>
      </c>
      <c r="B159" s="266" t="s">
        <v>443</v>
      </c>
      <c r="C159" s="266">
        <v>1400</v>
      </c>
      <c r="D159" s="266">
        <v>0.84</v>
      </c>
      <c r="E159" s="266">
        <v>0.47</v>
      </c>
      <c r="F159" s="266">
        <v>5</v>
      </c>
      <c r="G159" s="266">
        <v>8</v>
      </c>
      <c r="H159" s="268">
        <v>0.59</v>
      </c>
      <c r="I159" s="268">
        <v>0.65</v>
      </c>
      <c r="J159" s="270">
        <f t="shared" si="7"/>
        <v>0.56034482758620696</v>
      </c>
      <c r="K159" s="266">
        <v>7.92</v>
      </c>
      <c r="L159" s="266">
        <v>8.83</v>
      </c>
      <c r="M159" s="266">
        <v>0.09</v>
      </c>
    </row>
    <row r="160" spans="1:13" ht="13.5" thickBot="1" x14ac:dyDescent="0.25">
      <c r="A160" s="265">
        <v>139</v>
      </c>
      <c r="B160" s="266" t="s">
        <v>443</v>
      </c>
      <c r="C160" s="266">
        <v>1200</v>
      </c>
      <c r="D160" s="266">
        <v>0.84</v>
      </c>
      <c r="E160" s="266">
        <v>0.35</v>
      </c>
      <c r="F160" s="266">
        <v>5</v>
      </c>
      <c r="G160" s="266">
        <v>8</v>
      </c>
      <c r="H160" s="268">
        <v>0.48</v>
      </c>
      <c r="I160" s="268">
        <v>0.54</v>
      </c>
      <c r="J160" s="270">
        <f t="shared" si="7"/>
        <v>0.46551724137931039</v>
      </c>
      <c r="K160" s="266">
        <v>6.64</v>
      </c>
      <c r="L160" s="266">
        <v>7.45</v>
      </c>
      <c r="M160" s="266">
        <v>0.11</v>
      </c>
    </row>
    <row r="161" spans="1:13" ht="13.5" thickBot="1" x14ac:dyDescent="0.25">
      <c r="A161" s="265">
        <v>140</v>
      </c>
      <c r="B161" s="266" t="s">
        <v>443</v>
      </c>
      <c r="C161" s="266">
        <v>1000</v>
      </c>
      <c r="D161" s="266">
        <v>0.84</v>
      </c>
      <c r="E161" s="266">
        <v>0.28999999999999998</v>
      </c>
      <c r="F161" s="266">
        <v>5</v>
      </c>
      <c r="G161" s="266">
        <v>8</v>
      </c>
      <c r="H161" s="268">
        <v>0.38</v>
      </c>
      <c r="I161" s="268">
        <v>0.44</v>
      </c>
      <c r="J161" s="270">
        <f t="shared" si="7"/>
        <v>0.37931034482758624</v>
      </c>
      <c r="K161" s="266">
        <v>5.39</v>
      </c>
      <c r="L161" s="266">
        <v>6.14</v>
      </c>
      <c r="M161" s="266">
        <v>0.14000000000000001</v>
      </c>
    </row>
    <row r="162" spans="1:13" ht="13.5" thickBot="1" x14ac:dyDescent="0.25">
      <c r="A162" s="271">
        <v>141</v>
      </c>
      <c r="B162" s="272" t="s">
        <v>499</v>
      </c>
      <c r="C162" s="273">
        <v>1400</v>
      </c>
      <c r="D162" s="273">
        <v>0.84</v>
      </c>
      <c r="E162" s="273">
        <v>0.47</v>
      </c>
      <c r="F162" s="273">
        <v>5</v>
      </c>
      <c r="G162" s="273">
        <v>8</v>
      </c>
      <c r="H162" s="274">
        <v>0.52</v>
      </c>
      <c r="I162" s="274">
        <v>0.57999999999999996</v>
      </c>
      <c r="J162" s="270">
        <f t="shared" si="7"/>
        <v>0.5</v>
      </c>
      <c r="K162" s="273">
        <v>7.46</v>
      </c>
      <c r="L162" s="273">
        <v>8.34</v>
      </c>
      <c r="M162" s="273">
        <v>0.09</v>
      </c>
    </row>
    <row r="163" spans="1:13" ht="13.5" thickBot="1" x14ac:dyDescent="0.25">
      <c r="A163" s="275">
        <v>142</v>
      </c>
      <c r="B163" s="267" t="s">
        <v>446</v>
      </c>
      <c r="C163" s="267">
        <v>1200</v>
      </c>
      <c r="D163" s="267">
        <v>0.84</v>
      </c>
      <c r="E163" s="267">
        <v>0.35</v>
      </c>
      <c r="F163" s="267">
        <v>5</v>
      </c>
      <c r="G163" s="267">
        <v>8</v>
      </c>
      <c r="H163" s="277">
        <v>0.41</v>
      </c>
      <c r="I163" s="277">
        <v>0.47</v>
      </c>
      <c r="J163" s="270">
        <f t="shared" si="7"/>
        <v>0.40517241379310348</v>
      </c>
      <c r="K163" s="267">
        <v>6.14</v>
      </c>
      <c r="L163" s="267">
        <v>6.95</v>
      </c>
      <c r="M163" s="267">
        <v>0.11</v>
      </c>
    </row>
    <row r="164" spans="1:13" ht="13.5" thickBot="1" x14ac:dyDescent="0.25">
      <c r="A164" s="265">
        <v>143</v>
      </c>
      <c r="B164" s="266" t="s">
        <v>443</v>
      </c>
      <c r="C164" s="266">
        <v>1000</v>
      </c>
      <c r="D164" s="266">
        <v>0.84</v>
      </c>
      <c r="E164" s="266">
        <v>0.24</v>
      </c>
      <c r="F164" s="266">
        <v>5</v>
      </c>
      <c r="G164" s="266">
        <v>8</v>
      </c>
      <c r="H164" s="268">
        <v>0.3</v>
      </c>
      <c r="I164" s="268">
        <v>0.35</v>
      </c>
      <c r="J164" s="270">
        <f t="shared" si="7"/>
        <v>0.30172413793103448</v>
      </c>
      <c r="K164" s="266">
        <v>4.79</v>
      </c>
      <c r="L164" s="266">
        <v>5.48</v>
      </c>
      <c r="M164" s="266">
        <v>0.12</v>
      </c>
    </row>
    <row r="165" spans="1:13" ht="13.5" thickBot="1" x14ac:dyDescent="0.25">
      <c r="A165" s="265">
        <v>144</v>
      </c>
      <c r="B165" s="269" t="s">
        <v>173</v>
      </c>
      <c r="C165" s="266">
        <v>800</v>
      </c>
      <c r="D165" s="266">
        <v>0.84</v>
      </c>
      <c r="E165" s="266">
        <v>0.21</v>
      </c>
      <c r="F165" s="266">
        <v>8</v>
      </c>
      <c r="G165" s="266">
        <v>13</v>
      </c>
      <c r="H165" s="268">
        <v>0.23</v>
      </c>
      <c r="I165" s="268">
        <v>0.26</v>
      </c>
      <c r="J165" s="270">
        <f t="shared" si="7"/>
        <v>0.22413793103448279</v>
      </c>
      <c r="K165" s="266">
        <v>3.97</v>
      </c>
      <c r="L165" s="266">
        <v>4.58</v>
      </c>
      <c r="M165" s="266" t="s">
        <v>500</v>
      </c>
    </row>
    <row r="166" spans="1:13" ht="13.5" thickBot="1" x14ac:dyDescent="0.25">
      <c r="A166" s="265">
        <v>145</v>
      </c>
      <c r="B166" s="266" t="s">
        <v>443</v>
      </c>
      <c r="C166" s="266">
        <v>600</v>
      </c>
      <c r="D166" s="266">
        <v>0.84</v>
      </c>
      <c r="E166" s="266">
        <v>0.14000000000000001</v>
      </c>
      <c r="F166" s="266">
        <v>8</v>
      </c>
      <c r="G166" s="266">
        <v>13</v>
      </c>
      <c r="H166" s="268">
        <v>0.16</v>
      </c>
      <c r="I166" s="268">
        <v>0.17</v>
      </c>
      <c r="J166" s="270">
        <f t="shared" si="7"/>
        <v>0.14655172413793105</v>
      </c>
      <c r="K166" s="266">
        <v>2.87</v>
      </c>
      <c r="L166" s="266">
        <v>3.21</v>
      </c>
      <c r="M166" s="266">
        <v>0.15</v>
      </c>
    </row>
    <row r="167" spans="1:13" ht="13.5" thickBot="1" x14ac:dyDescent="0.25">
      <c r="A167" s="265">
        <v>146</v>
      </c>
      <c r="B167" s="266" t="s">
        <v>443</v>
      </c>
      <c r="C167" s="266">
        <v>400</v>
      </c>
      <c r="D167" s="266">
        <v>0.84</v>
      </c>
      <c r="E167" s="266">
        <v>0.09</v>
      </c>
      <c r="F167" s="266">
        <v>8</v>
      </c>
      <c r="G167" s="266">
        <v>13</v>
      </c>
      <c r="H167" s="268">
        <v>0.11</v>
      </c>
      <c r="I167" s="268">
        <v>0.13</v>
      </c>
      <c r="J167" s="270">
        <f t="shared" si="7"/>
        <v>0.1120689655172414</v>
      </c>
      <c r="K167" s="266">
        <v>1.94</v>
      </c>
      <c r="L167" s="266">
        <v>2.29</v>
      </c>
      <c r="M167" s="266">
        <v>0.19</v>
      </c>
    </row>
    <row r="168" spans="1:13" ht="13.5" thickBot="1" x14ac:dyDescent="0.25">
      <c r="A168" s="265">
        <v>147</v>
      </c>
      <c r="B168" s="266" t="s">
        <v>443</v>
      </c>
      <c r="C168" s="266">
        <v>300</v>
      </c>
      <c r="D168" s="266">
        <v>0.84</v>
      </c>
      <c r="E168" s="266">
        <v>0.08</v>
      </c>
      <c r="F168" s="266">
        <v>8</v>
      </c>
      <c r="G168" s="266">
        <v>13</v>
      </c>
      <c r="H168" s="268">
        <v>0.09</v>
      </c>
      <c r="I168" s="268">
        <v>0.11</v>
      </c>
      <c r="J168" s="270">
        <f t="shared" si="7"/>
        <v>9.4827586206896561E-2</v>
      </c>
      <c r="K168" s="266">
        <v>1.52</v>
      </c>
      <c r="L168" s="266">
        <v>1.83</v>
      </c>
      <c r="M168" s="266">
        <v>0.23</v>
      </c>
    </row>
    <row r="169" spans="1:13" ht="26.25" thickBot="1" x14ac:dyDescent="0.25">
      <c r="A169" s="265">
        <v>148</v>
      </c>
      <c r="B169" s="269" t="s">
        <v>501</v>
      </c>
      <c r="C169" s="266">
        <v>600</v>
      </c>
      <c r="D169" s="266">
        <v>1.06</v>
      </c>
      <c r="E169" s="266">
        <v>0.14499999999999999</v>
      </c>
      <c r="F169" s="266">
        <v>4</v>
      </c>
      <c r="G169" s="266">
        <v>8</v>
      </c>
      <c r="H169" s="268">
        <v>0.17499999999999999</v>
      </c>
      <c r="I169" s="268">
        <v>0.2</v>
      </c>
      <c r="J169" s="270">
        <f t="shared" si="7"/>
        <v>0.17241379310344829</v>
      </c>
      <c r="K169" s="266">
        <v>3.07</v>
      </c>
      <c r="L169" s="266">
        <v>3.49</v>
      </c>
      <c r="M169" s="266">
        <v>6.8000000000000005E-2</v>
      </c>
    </row>
    <row r="170" spans="1:13" ht="13.5" thickBot="1" x14ac:dyDescent="0.25">
      <c r="A170" s="265">
        <v>149</v>
      </c>
      <c r="B170" s="266" t="s">
        <v>446</v>
      </c>
      <c r="C170" s="266">
        <v>500</v>
      </c>
      <c r="D170" s="266">
        <v>1.06</v>
      </c>
      <c r="E170" s="266">
        <v>0.125</v>
      </c>
      <c r="F170" s="266">
        <v>4</v>
      </c>
      <c r="G170" s="266">
        <v>8</v>
      </c>
      <c r="H170" s="268">
        <v>0.14000000000000001</v>
      </c>
      <c r="I170" s="268">
        <v>0.16</v>
      </c>
      <c r="J170" s="270">
        <f t="shared" si="7"/>
        <v>0.13793103448275865</v>
      </c>
      <c r="K170" s="266">
        <v>2.5</v>
      </c>
      <c r="L170" s="266">
        <v>2.85</v>
      </c>
      <c r="M170" s="266">
        <v>7.4999999999999997E-2</v>
      </c>
    </row>
    <row r="171" spans="1:13" ht="13.5" thickBot="1" x14ac:dyDescent="0.25">
      <c r="A171" s="265">
        <v>150</v>
      </c>
      <c r="B171" s="266" t="s">
        <v>443</v>
      </c>
      <c r="C171" s="266">
        <v>400</v>
      </c>
      <c r="D171" s="266">
        <v>1.06</v>
      </c>
      <c r="E171" s="266">
        <v>0.105</v>
      </c>
      <c r="F171" s="266">
        <v>4</v>
      </c>
      <c r="G171" s="266">
        <v>8</v>
      </c>
      <c r="H171" s="268">
        <v>0.12</v>
      </c>
      <c r="I171" s="268">
        <v>0.13500000000000001</v>
      </c>
      <c r="J171" s="270">
        <f t="shared" si="7"/>
        <v>0.1163793103448276</v>
      </c>
      <c r="K171" s="266">
        <v>2.0699999999999998</v>
      </c>
      <c r="L171" s="266">
        <v>2.34</v>
      </c>
      <c r="M171" s="266">
        <v>8.5000000000000006E-2</v>
      </c>
    </row>
    <row r="172" spans="1:13" ht="13.5" thickBot="1" x14ac:dyDescent="0.25">
      <c r="A172" s="265">
        <v>151</v>
      </c>
      <c r="B172" s="266" t="s">
        <v>443</v>
      </c>
      <c r="C172" s="266">
        <v>300</v>
      </c>
      <c r="D172" s="266">
        <v>1.06</v>
      </c>
      <c r="E172" s="266">
        <v>8.5000000000000006E-2</v>
      </c>
      <c r="F172" s="266">
        <v>4</v>
      </c>
      <c r="G172" s="266">
        <v>8</v>
      </c>
      <c r="H172" s="268">
        <v>0.09</v>
      </c>
      <c r="I172" s="268">
        <v>0.11</v>
      </c>
      <c r="J172" s="270">
        <f t="shared" si="7"/>
        <v>9.4827586206896561E-2</v>
      </c>
      <c r="K172" s="266">
        <v>1.55</v>
      </c>
      <c r="L172" s="266">
        <v>1.83</v>
      </c>
      <c r="M172" s="266">
        <v>0.1</v>
      </c>
    </row>
    <row r="173" spans="1:13" ht="13.5" thickBot="1" x14ac:dyDescent="0.25">
      <c r="A173" s="265">
        <v>152</v>
      </c>
      <c r="B173" s="266" t="s">
        <v>443</v>
      </c>
      <c r="C173" s="266">
        <v>200</v>
      </c>
      <c r="D173" s="266">
        <v>1.06</v>
      </c>
      <c r="E173" s="266">
        <v>6.5000000000000002E-2</v>
      </c>
      <c r="F173" s="266">
        <v>4</v>
      </c>
      <c r="G173" s="266">
        <v>8</v>
      </c>
      <c r="H173" s="268">
        <v>7.0000000000000007E-2</v>
      </c>
      <c r="I173" s="268">
        <v>0.08</v>
      </c>
      <c r="J173" s="270">
        <f t="shared" si="7"/>
        <v>6.8965517241379323E-2</v>
      </c>
      <c r="K173" s="266">
        <v>1.1200000000000001</v>
      </c>
      <c r="L173" s="266">
        <v>1.28</v>
      </c>
      <c r="M173" s="266">
        <v>0.12</v>
      </c>
    </row>
    <row r="174" spans="1:13" ht="13.5" thickBot="1" x14ac:dyDescent="0.25">
      <c r="A174" s="265">
        <v>153</v>
      </c>
      <c r="B174" s="266" t="s">
        <v>443</v>
      </c>
      <c r="C174" s="266">
        <v>150</v>
      </c>
      <c r="D174" s="266">
        <v>1.06</v>
      </c>
      <c r="E174" s="266">
        <v>5.5E-2</v>
      </c>
      <c r="F174" s="266">
        <v>4</v>
      </c>
      <c r="G174" s="266">
        <v>8</v>
      </c>
      <c r="H174" s="268">
        <v>5.7000000000000002E-2</v>
      </c>
      <c r="I174" s="268">
        <v>0.06</v>
      </c>
      <c r="J174" s="270">
        <f t="shared" si="7"/>
        <v>5.1724137931034482E-2</v>
      </c>
      <c r="K174" s="266">
        <v>0.87</v>
      </c>
      <c r="L174" s="266">
        <v>0.96</v>
      </c>
      <c r="M174" s="266">
        <v>0.13500000000000001</v>
      </c>
    </row>
    <row r="175" spans="1:13" ht="13.5" thickBot="1" x14ac:dyDescent="0.25">
      <c r="A175" s="431" t="s">
        <v>502</v>
      </c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  <c r="L175" s="432"/>
      <c r="M175" s="433"/>
    </row>
    <row r="176" spans="1:13" ht="13.5" thickBot="1" x14ac:dyDescent="0.25">
      <c r="A176" s="265">
        <v>154</v>
      </c>
      <c r="B176" s="269" t="s">
        <v>503</v>
      </c>
      <c r="C176" s="266">
        <v>1000</v>
      </c>
      <c r="D176" s="266">
        <v>0.84</v>
      </c>
      <c r="E176" s="266">
        <v>0.28999999999999998</v>
      </c>
      <c r="F176" s="266">
        <v>10</v>
      </c>
      <c r="G176" s="266">
        <v>15</v>
      </c>
      <c r="H176" s="268">
        <v>0.41</v>
      </c>
      <c r="I176" s="268">
        <v>0.47</v>
      </c>
      <c r="J176" s="270">
        <f t="shared" ref="J176:J183" si="8">I176/1.16</f>
        <v>0.40517241379310348</v>
      </c>
      <c r="K176" s="266">
        <v>6.13</v>
      </c>
      <c r="L176" s="266">
        <v>7.09</v>
      </c>
      <c r="M176" s="266">
        <v>0.11</v>
      </c>
    </row>
    <row r="177" spans="1:13" ht="13.5" thickBot="1" x14ac:dyDescent="0.25">
      <c r="A177" s="265">
        <v>155</v>
      </c>
      <c r="B177" s="266" t="s">
        <v>446</v>
      </c>
      <c r="C177" s="266">
        <v>800</v>
      </c>
      <c r="D177" s="266">
        <v>0.84</v>
      </c>
      <c r="E177" s="266">
        <v>0.21</v>
      </c>
      <c r="F177" s="266">
        <v>10</v>
      </c>
      <c r="G177" s="266">
        <v>15</v>
      </c>
      <c r="H177" s="268">
        <v>0.33</v>
      </c>
      <c r="I177" s="268">
        <v>0.37</v>
      </c>
      <c r="J177" s="270">
        <f t="shared" si="8"/>
        <v>0.31896551724137934</v>
      </c>
      <c r="K177" s="266">
        <v>4.92</v>
      </c>
      <c r="L177" s="266">
        <v>5.63</v>
      </c>
      <c r="M177" s="266">
        <v>0.14000000000000001</v>
      </c>
    </row>
    <row r="178" spans="1:13" ht="13.5" thickBot="1" x14ac:dyDescent="0.25">
      <c r="A178" s="265">
        <v>156</v>
      </c>
      <c r="B178" s="266" t="s">
        <v>443</v>
      </c>
      <c r="C178" s="266">
        <v>600</v>
      </c>
      <c r="D178" s="266">
        <v>0.84</v>
      </c>
      <c r="E178" s="266">
        <v>0.14000000000000001</v>
      </c>
      <c r="F178" s="266">
        <v>8</v>
      </c>
      <c r="G178" s="266">
        <v>12</v>
      </c>
      <c r="H178" s="268">
        <v>0.22</v>
      </c>
      <c r="I178" s="268">
        <v>0.26</v>
      </c>
      <c r="J178" s="270">
        <f t="shared" si="8"/>
        <v>0.22413793103448279</v>
      </c>
      <c r="K178" s="266">
        <v>3.36</v>
      </c>
      <c r="L178" s="266">
        <v>3.91</v>
      </c>
      <c r="M178" s="266">
        <v>0.17</v>
      </c>
    </row>
    <row r="179" spans="1:13" ht="13.5" thickBot="1" x14ac:dyDescent="0.25">
      <c r="A179" s="265">
        <v>157</v>
      </c>
      <c r="B179" s="266" t="s">
        <v>443</v>
      </c>
      <c r="C179" s="266">
        <v>400</v>
      </c>
      <c r="D179" s="266">
        <v>0.84</v>
      </c>
      <c r="E179" s="266">
        <v>0.11</v>
      </c>
      <c r="F179" s="266">
        <v>8</v>
      </c>
      <c r="G179" s="266">
        <v>12</v>
      </c>
      <c r="H179" s="268">
        <v>0.14000000000000001</v>
      </c>
      <c r="I179" s="268">
        <v>0.15</v>
      </c>
      <c r="J179" s="270">
        <f t="shared" si="8"/>
        <v>0.12931034482758622</v>
      </c>
      <c r="K179" s="266">
        <v>2.19</v>
      </c>
      <c r="L179" s="266">
        <v>2.42</v>
      </c>
      <c r="M179" s="266">
        <v>0.23</v>
      </c>
    </row>
    <row r="180" spans="1:13" ht="13.5" thickBot="1" x14ac:dyDescent="0.25">
      <c r="A180" s="265">
        <v>158</v>
      </c>
      <c r="B180" s="266" t="s">
        <v>443</v>
      </c>
      <c r="C180" s="266">
        <v>300</v>
      </c>
      <c r="D180" s="266">
        <v>0.84</v>
      </c>
      <c r="E180" s="266">
        <v>0.08</v>
      </c>
      <c r="F180" s="266">
        <v>8</v>
      </c>
      <c r="G180" s="266">
        <v>12</v>
      </c>
      <c r="H180" s="268">
        <v>0.11</v>
      </c>
      <c r="I180" s="268">
        <v>0.13</v>
      </c>
      <c r="J180" s="270">
        <f t="shared" si="8"/>
        <v>0.1120689655172414</v>
      </c>
      <c r="K180" s="266">
        <v>1.68</v>
      </c>
      <c r="L180" s="266">
        <v>1.95</v>
      </c>
      <c r="M180" s="266">
        <v>0.26</v>
      </c>
    </row>
    <row r="181" spans="1:13" ht="13.5" thickBot="1" x14ac:dyDescent="0.25">
      <c r="A181" s="265">
        <v>159</v>
      </c>
      <c r="B181" s="269" t="s">
        <v>504</v>
      </c>
      <c r="C181" s="266">
        <v>1200</v>
      </c>
      <c r="D181" s="266">
        <v>0.84</v>
      </c>
      <c r="E181" s="266">
        <v>0.28999999999999998</v>
      </c>
      <c r="F181" s="266">
        <v>15</v>
      </c>
      <c r="G181" s="266">
        <v>22</v>
      </c>
      <c r="H181" s="268">
        <v>0.52</v>
      </c>
      <c r="I181" s="268">
        <v>0.57999999999999996</v>
      </c>
      <c r="J181" s="270">
        <f t="shared" si="8"/>
        <v>0.5</v>
      </c>
      <c r="K181" s="266">
        <v>8.17</v>
      </c>
      <c r="L181" s="266">
        <v>9.4600000000000009</v>
      </c>
      <c r="M181" s="266">
        <v>7.4999999999999997E-2</v>
      </c>
    </row>
    <row r="182" spans="1:13" ht="13.5" thickBot="1" x14ac:dyDescent="0.25">
      <c r="A182" s="265">
        <v>160</v>
      </c>
      <c r="B182" s="266" t="s">
        <v>446</v>
      </c>
      <c r="C182" s="266">
        <v>1000</v>
      </c>
      <c r="D182" s="266">
        <v>0.84</v>
      </c>
      <c r="E182" s="266">
        <v>0.23</v>
      </c>
      <c r="F182" s="266">
        <v>15</v>
      </c>
      <c r="G182" s="266">
        <v>22</v>
      </c>
      <c r="H182" s="268">
        <v>0.44</v>
      </c>
      <c r="I182" s="268">
        <v>0.5</v>
      </c>
      <c r="J182" s="270">
        <f t="shared" si="8"/>
        <v>0.43103448275862072</v>
      </c>
      <c r="K182" s="266">
        <v>6.86</v>
      </c>
      <c r="L182" s="266">
        <v>8.01</v>
      </c>
      <c r="M182" s="266">
        <v>9.8000000000000004E-2</v>
      </c>
    </row>
    <row r="183" spans="1:13" ht="13.5" thickBot="1" x14ac:dyDescent="0.25">
      <c r="A183" s="271">
        <v>161</v>
      </c>
      <c r="B183" s="273" t="s">
        <v>443</v>
      </c>
      <c r="C183" s="273">
        <v>800</v>
      </c>
      <c r="D183" s="273">
        <v>0.84</v>
      </c>
      <c r="E183" s="273">
        <v>0.17</v>
      </c>
      <c r="F183" s="273">
        <v>15</v>
      </c>
      <c r="G183" s="273">
        <v>22</v>
      </c>
      <c r="H183" s="274">
        <v>0.35</v>
      </c>
      <c r="I183" s="274">
        <v>0.41</v>
      </c>
      <c r="J183" s="270">
        <f t="shared" si="8"/>
        <v>0.35344827586206895</v>
      </c>
      <c r="K183" s="273">
        <v>5.48</v>
      </c>
      <c r="L183" s="273">
        <v>6.49</v>
      </c>
      <c r="M183" s="273">
        <v>0.12</v>
      </c>
    </row>
    <row r="184" spans="1:13" ht="13.5" thickBot="1" x14ac:dyDescent="0.25">
      <c r="A184" s="431" t="s">
        <v>505</v>
      </c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  <c r="L184" s="432"/>
      <c r="M184" s="433"/>
    </row>
    <row r="185" spans="1:13" ht="26.25" thickBot="1" x14ac:dyDescent="0.25">
      <c r="A185" s="265">
        <v>162</v>
      </c>
      <c r="B185" s="269" t="s">
        <v>506</v>
      </c>
      <c r="C185" s="266">
        <v>1800</v>
      </c>
      <c r="D185" s="266">
        <v>0.88</v>
      </c>
      <c r="E185" s="266">
        <v>0.56000000000000005</v>
      </c>
      <c r="F185" s="266">
        <v>1</v>
      </c>
      <c r="G185" s="266">
        <v>2</v>
      </c>
      <c r="H185" s="268">
        <v>0.7</v>
      </c>
      <c r="I185" s="268">
        <v>0.81</v>
      </c>
      <c r="J185" s="270">
        <f t="shared" ref="J185:J191" si="9">I185/1.16</f>
        <v>0.69827586206896564</v>
      </c>
      <c r="K185" s="266">
        <v>9.1999999999999993</v>
      </c>
      <c r="L185" s="266">
        <v>10.119999999999999</v>
      </c>
      <c r="M185" s="266">
        <v>0.11</v>
      </c>
    </row>
    <row r="186" spans="1:13" ht="26.25" thickBot="1" x14ac:dyDescent="0.25">
      <c r="A186" s="265">
        <v>163</v>
      </c>
      <c r="B186" s="269" t="s">
        <v>507</v>
      </c>
      <c r="C186" s="266">
        <v>1700</v>
      </c>
      <c r="D186" s="266">
        <v>0.88</v>
      </c>
      <c r="E186" s="266">
        <v>0.52</v>
      </c>
      <c r="F186" s="266">
        <v>1.5</v>
      </c>
      <c r="G186" s="266">
        <v>3</v>
      </c>
      <c r="H186" s="268">
        <v>0.64</v>
      </c>
      <c r="I186" s="268">
        <v>0.76</v>
      </c>
      <c r="J186" s="270">
        <f t="shared" si="9"/>
        <v>0.65517241379310354</v>
      </c>
      <c r="K186" s="266">
        <v>8.64</v>
      </c>
      <c r="L186" s="266">
        <v>9.6999999999999993</v>
      </c>
      <c r="M186" s="266">
        <v>0.12</v>
      </c>
    </row>
    <row r="187" spans="1:13" ht="26.25" thickBot="1" x14ac:dyDescent="0.25">
      <c r="A187" s="265">
        <v>164</v>
      </c>
      <c r="B187" s="269" t="s">
        <v>508</v>
      </c>
      <c r="C187" s="266">
        <v>1600</v>
      </c>
      <c r="D187" s="266">
        <v>0.88</v>
      </c>
      <c r="E187" s="266">
        <v>0.47</v>
      </c>
      <c r="F187" s="266">
        <v>2</v>
      </c>
      <c r="G187" s="266">
        <v>4</v>
      </c>
      <c r="H187" s="268">
        <v>0.57999999999999996</v>
      </c>
      <c r="I187" s="268">
        <v>0.7</v>
      </c>
      <c r="J187" s="270">
        <f t="shared" si="9"/>
        <v>0.60344827586206895</v>
      </c>
      <c r="K187" s="266">
        <v>8.08</v>
      </c>
      <c r="L187" s="266">
        <v>9.23</v>
      </c>
      <c r="M187" s="266">
        <v>0.15</v>
      </c>
    </row>
    <row r="188" spans="1:13" ht="26.25" thickBot="1" x14ac:dyDescent="0.25">
      <c r="A188" s="265">
        <v>165</v>
      </c>
      <c r="B188" s="269" t="s">
        <v>509</v>
      </c>
      <c r="C188" s="266">
        <v>1800</v>
      </c>
      <c r="D188" s="266">
        <v>0.88</v>
      </c>
      <c r="E188" s="266">
        <v>0.7</v>
      </c>
      <c r="F188" s="266">
        <v>2</v>
      </c>
      <c r="G188" s="266">
        <v>4</v>
      </c>
      <c r="H188" s="268">
        <v>0.76</v>
      </c>
      <c r="I188" s="268">
        <v>0.87</v>
      </c>
      <c r="J188" s="270">
        <f t="shared" si="9"/>
        <v>0.75</v>
      </c>
      <c r="K188" s="266">
        <v>9.77</v>
      </c>
      <c r="L188" s="266">
        <v>10.9</v>
      </c>
      <c r="M188" s="266">
        <v>0.11</v>
      </c>
    </row>
    <row r="189" spans="1:13" ht="26.25" thickBot="1" x14ac:dyDescent="0.25">
      <c r="A189" s="265">
        <v>166</v>
      </c>
      <c r="B189" s="269" t="s">
        <v>510</v>
      </c>
      <c r="C189" s="266">
        <v>1200</v>
      </c>
      <c r="D189" s="266">
        <v>0.88</v>
      </c>
      <c r="E189" s="266">
        <v>0.35</v>
      </c>
      <c r="F189" s="266">
        <v>2</v>
      </c>
      <c r="G189" s="266">
        <v>4</v>
      </c>
      <c r="H189" s="268">
        <v>0.47</v>
      </c>
      <c r="I189" s="268">
        <v>0.52</v>
      </c>
      <c r="J189" s="270">
        <f t="shared" si="9"/>
        <v>0.44827586206896558</v>
      </c>
      <c r="K189" s="266">
        <v>6.26</v>
      </c>
      <c r="L189" s="266">
        <v>6.49</v>
      </c>
      <c r="M189" s="266">
        <v>0.19</v>
      </c>
    </row>
    <row r="190" spans="1:13" ht="13.5" thickBot="1" x14ac:dyDescent="0.25">
      <c r="A190" s="265">
        <v>167</v>
      </c>
      <c r="B190" s="266" t="s">
        <v>446</v>
      </c>
      <c r="C190" s="266">
        <v>1000</v>
      </c>
      <c r="D190" s="266">
        <v>0.88</v>
      </c>
      <c r="E190" s="266">
        <v>0.28999999999999998</v>
      </c>
      <c r="F190" s="266">
        <v>2</v>
      </c>
      <c r="G190" s="266">
        <v>4</v>
      </c>
      <c r="H190" s="268">
        <v>0.41</v>
      </c>
      <c r="I190" s="268">
        <v>0.47</v>
      </c>
      <c r="J190" s="270">
        <f t="shared" si="9"/>
        <v>0.40517241379310348</v>
      </c>
      <c r="K190" s="266">
        <v>5.35</v>
      </c>
      <c r="L190" s="266">
        <v>5.96</v>
      </c>
      <c r="M190" s="266">
        <v>0.23</v>
      </c>
    </row>
    <row r="191" spans="1:13" ht="13.5" thickBot="1" x14ac:dyDescent="0.25">
      <c r="A191" s="265">
        <v>168</v>
      </c>
      <c r="B191" s="269" t="s">
        <v>511</v>
      </c>
      <c r="C191" s="266">
        <v>1500</v>
      </c>
      <c r="D191" s="266">
        <v>0.88</v>
      </c>
      <c r="E191" s="266">
        <v>0.52</v>
      </c>
      <c r="F191" s="266">
        <v>1.5</v>
      </c>
      <c r="G191" s="266">
        <v>3</v>
      </c>
      <c r="H191" s="268">
        <v>0.64</v>
      </c>
      <c r="I191" s="268">
        <v>0.7</v>
      </c>
      <c r="J191" s="270">
        <f t="shared" si="9"/>
        <v>0.60344827586206895</v>
      </c>
      <c r="K191" s="266">
        <v>8.1199999999999992</v>
      </c>
      <c r="L191" s="266">
        <v>8.76</v>
      </c>
      <c r="M191" s="266">
        <v>0.11</v>
      </c>
    </row>
    <row r="192" spans="1:13" ht="13.5" thickBot="1" x14ac:dyDescent="0.25">
      <c r="A192" s="431" t="s">
        <v>512</v>
      </c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  <c r="L192" s="432"/>
      <c r="M192" s="433"/>
    </row>
    <row r="193" spans="1:13" ht="42" thickBot="1" x14ac:dyDescent="0.25">
      <c r="A193" s="265">
        <v>169</v>
      </c>
      <c r="B193" s="269" t="s">
        <v>555</v>
      </c>
      <c r="C193" s="266">
        <v>1600</v>
      </c>
      <c r="D193" s="266">
        <v>0.88</v>
      </c>
      <c r="E193" s="266">
        <v>0.47</v>
      </c>
      <c r="F193" s="266">
        <v>1</v>
      </c>
      <c r="G193" s="266">
        <v>2</v>
      </c>
      <c r="H193" s="268">
        <v>0.57999999999999996</v>
      </c>
      <c r="I193" s="268">
        <v>0.64</v>
      </c>
      <c r="J193" s="270">
        <f>I193/1.16</f>
        <v>0.55172413793103459</v>
      </c>
      <c r="K193" s="266">
        <v>7.91</v>
      </c>
      <c r="L193" s="266">
        <v>8.48</v>
      </c>
      <c r="M193" s="266">
        <v>0.14000000000000001</v>
      </c>
    </row>
    <row r="194" spans="1:13" ht="42" thickBot="1" x14ac:dyDescent="0.25">
      <c r="A194" s="265">
        <v>170</v>
      </c>
      <c r="B194" s="269" t="s">
        <v>556</v>
      </c>
      <c r="C194" s="266">
        <v>1400</v>
      </c>
      <c r="D194" s="266">
        <v>0.88</v>
      </c>
      <c r="E194" s="266">
        <v>0.41</v>
      </c>
      <c r="F194" s="266">
        <v>1</v>
      </c>
      <c r="G194" s="266">
        <v>2</v>
      </c>
      <c r="H194" s="268">
        <v>0.52</v>
      </c>
      <c r="I194" s="268">
        <v>0.57999999999999996</v>
      </c>
      <c r="J194" s="270">
        <f>I194/1.16</f>
        <v>0.5</v>
      </c>
      <c r="K194" s="266">
        <v>7.01</v>
      </c>
      <c r="L194" s="266">
        <v>7.56</v>
      </c>
      <c r="M194" s="266">
        <v>0.16</v>
      </c>
    </row>
    <row r="195" spans="1:13" ht="42" thickBot="1" x14ac:dyDescent="0.25">
      <c r="A195" s="265">
        <v>171</v>
      </c>
      <c r="B195" s="269" t="s">
        <v>557</v>
      </c>
      <c r="C195" s="266">
        <v>1200</v>
      </c>
      <c r="D195" s="266">
        <v>0.88</v>
      </c>
      <c r="E195" s="266">
        <v>0.35</v>
      </c>
      <c r="F195" s="266">
        <v>1</v>
      </c>
      <c r="G195" s="266">
        <v>2</v>
      </c>
      <c r="H195" s="268">
        <v>0.47</v>
      </c>
      <c r="I195" s="268">
        <v>0.52</v>
      </c>
      <c r="J195" s="270">
        <f>I195/1.16</f>
        <v>0.44827586206896558</v>
      </c>
      <c r="K195" s="266">
        <v>6.16</v>
      </c>
      <c r="L195" s="266">
        <v>6.62</v>
      </c>
      <c r="M195" s="266">
        <v>0.17</v>
      </c>
    </row>
    <row r="196" spans="1:13" ht="13.5" thickBot="1" x14ac:dyDescent="0.25">
      <c r="A196" s="437">
        <v>172</v>
      </c>
      <c r="B196" s="272" t="s">
        <v>513</v>
      </c>
      <c r="C196" s="437">
        <v>1500</v>
      </c>
      <c r="D196" s="437">
        <v>0.88</v>
      </c>
      <c r="E196" s="437">
        <v>0.64</v>
      </c>
      <c r="F196" s="437">
        <v>2</v>
      </c>
      <c r="G196" s="437">
        <v>4</v>
      </c>
      <c r="H196" s="439">
        <v>0.7</v>
      </c>
      <c r="I196" s="439">
        <v>0.81</v>
      </c>
      <c r="J196" s="270">
        <f>I196/1.16</f>
        <v>0.69827586206896564</v>
      </c>
      <c r="K196" s="437">
        <v>8.59</v>
      </c>
      <c r="L196" s="437">
        <v>9.6300000000000008</v>
      </c>
      <c r="M196" s="437">
        <v>0.13</v>
      </c>
    </row>
    <row r="197" spans="1:13" ht="26.25" thickBot="1" x14ac:dyDescent="0.25">
      <c r="A197" s="438"/>
      <c r="B197" s="269" t="s">
        <v>514</v>
      </c>
      <c r="C197" s="438"/>
      <c r="D197" s="438"/>
      <c r="E197" s="438"/>
      <c r="F197" s="438"/>
      <c r="G197" s="438"/>
      <c r="H197" s="440"/>
      <c r="I197" s="440"/>
      <c r="J197" s="270"/>
      <c r="K197" s="438"/>
      <c r="L197" s="438"/>
      <c r="M197" s="438"/>
    </row>
    <row r="198" spans="1:13" ht="13.5" thickBot="1" x14ac:dyDescent="0.25">
      <c r="A198" s="437">
        <v>173</v>
      </c>
      <c r="B198" s="272" t="s">
        <v>515</v>
      </c>
      <c r="C198" s="437">
        <v>1400</v>
      </c>
      <c r="D198" s="437">
        <v>0.88</v>
      </c>
      <c r="E198" s="437">
        <v>0.52</v>
      </c>
      <c r="F198" s="437">
        <v>2</v>
      </c>
      <c r="G198" s="437">
        <v>4</v>
      </c>
      <c r="H198" s="439">
        <v>0.64</v>
      </c>
      <c r="I198" s="439">
        <v>0.76</v>
      </c>
      <c r="J198" s="270">
        <f>I198/1.16</f>
        <v>0.65517241379310354</v>
      </c>
      <c r="K198" s="437">
        <v>7.93</v>
      </c>
      <c r="L198" s="437">
        <v>9.01</v>
      </c>
      <c r="M198" s="437">
        <v>0.14000000000000001</v>
      </c>
    </row>
    <row r="199" spans="1:13" ht="26.25" thickBot="1" x14ac:dyDescent="0.25">
      <c r="A199" s="438"/>
      <c r="B199" s="269" t="s">
        <v>514</v>
      </c>
      <c r="C199" s="438"/>
      <c r="D199" s="438"/>
      <c r="E199" s="438"/>
      <c r="F199" s="438"/>
      <c r="G199" s="438"/>
      <c r="H199" s="440"/>
      <c r="I199" s="440"/>
      <c r="J199" s="281"/>
      <c r="K199" s="438"/>
      <c r="L199" s="438"/>
      <c r="M199" s="438"/>
    </row>
    <row r="200" spans="1:13" ht="13.5" thickBot="1" x14ac:dyDescent="0.25">
      <c r="A200" s="431" t="s">
        <v>516</v>
      </c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  <c r="L200" s="432"/>
      <c r="M200" s="433"/>
    </row>
    <row r="201" spans="1:13" ht="26.25" thickBot="1" x14ac:dyDescent="0.25">
      <c r="A201" s="265">
        <v>174</v>
      </c>
      <c r="B201" s="269" t="s">
        <v>517</v>
      </c>
      <c r="C201" s="266">
        <v>500</v>
      </c>
      <c r="D201" s="266">
        <v>2.2999999999999998</v>
      </c>
      <c r="E201" s="266">
        <v>0.09</v>
      </c>
      <c r="F201" s="266">
        <v>15</v>
      </c>
      <c r="G201" s="266">
        <v>20</v>
      </c>
      <c r="H201" s="268">
        <v>0.14000000000000001</v>
      </c>
      <c r="I201" s="268">
        <v>0.18</v>
      </c>
      <c r="J201" s="270">
        <f t="shared" ref="J201:J207" si="10">I201/1.16</f>
        <v>0.15517241379310345</v>
      </c>
      <c r="K201" s="266">
        <v>3.87</v>
      </c>
      <c r="L201" s="266">
        <v>4.54</v>
      </c>
      <c r="M201" s="266">
        <v>0.06</v>
      </c>
    </row>
    <row r="202" spans="1:13" ht="13.5" thickBot="1" x14ac:dyDescent="0.25">
      <c r="A202" s="265">
        <v>175</v>
      </c>
      <c r="B202" s="269" t="s">
        <v>518</v>
      </c>
      <c r="C202" s="266">
        <v>500</v>
      </c>
      <c r="D202" s="266">
        <v>2.2999999999999998</v>
      </c>
      <c r="E202" s="266">
        <v>0.18</v>
      </c>
      <c r="F202" s="266">
        <v>15</v>
      </c>
      <c r="G202" s="266">
        <v>20</v>
      </c>
      <c r="H202" s="268">
        <v>0.28999999999999998</v>
      </c>
      <c r="I202" s="268">
        <v>0.35</v>
      </c>
      <c r="J202" s="270">
        <f t="shared" si="10"/>
        <v>0.30172413793103448</v>
      </c>
      <c r="K202" s="266">
        <v>5.56</v>
      </c>
      <c r="L202" s="266">
        <v>6.33</v>
      </c>
      <c r="M202" s="266">
        <v>0.32</v>
      </c>
    </row>
    <row r="203" spans="1:13" ht="26.25" thickBot="1" x14ac:dyDescent="0.25">
      <c r="A203" s="265">
        <v>176</v>
      </c>
      <c r="B203" s="269" t="s">
        <v>519</v>
      </c>
      <c r="C203" s="266">
        <v>700</v>
      </c>
      <c r="D203" s="266">
        <v>2.2999999999999998</v>
      </c>
      <c r="E203" s="266">
        <v>0.1</v>
      </c>
      <c r="F203" s="266">
        <v>10</v>
      </c>
      <c r="G203" s="266">
        <v>15</v>
      </c>
      <c r="H203" s="268">
        <v>0.18</v>
      </c>
      <c r="I203" s="268">
        <v>0.23</v>
      </c>
      <c r="J203" s="270">
        <f t="shared" si="10"/>
        <v>0.19827586206896555</v>
      </c>
      <c r="K203" s="266">
        <v>5</v>
      </c>
      <c r="L203" s="266">
        <v>5.86</v>
      </c>
      <c r="M203" s="266">
        <v>0.05</v>
      </c>
    </row>
    <row r="204" spans="1:13" ht="13.5" thickBot="1" x14ac:dyDescent="0.25">
      <c r="A204" s="265">
        <v>177</v>
      </c>
      <c r="B204" s="269" t="s">
        <v>194</v>
      </c>
      <c r="C204" s="266">
        <v>700</v>
      </c>
      <c r="D204" s="266">
        <v>2.2999999999999998</v>
      </c>
      <c r="E204" s="266">
        <v>0.23</v>
      </c>
      <c r="F204" s="266">
        <v>10</v>
      </c>
      <c r="G204" s="266">
        <v>15</v>
      </c>
      <c r="H204" s="268">
        <v>0.35</v>
      </c>
      <c r="I204" s="268">
        <v>0.41</v>
      </c>
      <c r="J204" s="270">
        <f t="shared" si="10"/>
        <v>0.35344827586206895</v>
      </c>
      <c r="K204" s="266">
        <v>6.9</v>
      </c>
      <c r="L204" s="266">
        <v>7.83</v>
      </c>
      <c r="M204" s="266">
        <v>0.3</v>
      </c>
    </row>
    <row r="205" spans="1:13" ht="13.5" thickBot="1" x14ac:dyDescent="0.25">
      <c r="A205" s="265">
        <v>178</v>
      </c>
      <c r="B205" s="269" t="s">
        <v>520</v>
      </c>
      <c r="C205" s="266">
        <v>600</v>
      </c>
      <c r="D205" s="266">
        <v>2.2999999999999998</v>
      </c>
      <c r="E205" s="266">
        <v>0.12</v>
      </c>
      <c r="F205" s="266">
        <v>10</v>
      </c>
      <c r="G205" s="266">
        <v>13</v>
      </c>
      <c r="H205" s="268">
        <v>0.15</v>
      </c>
      <c r="I205" s="268">
        <v>0.18</v>
      </c>
      <c r="J205" s="270">
        <f t="shared" si="10"/>
        <v>0.15517241379310345</v>
      </c>
      <c r="K205" s="266">
        <v>4.22</v>
      </c>
      <c r="L205" s="266">
        <v>4.7300000000000004</v>
      </c>
      <c r="M205" s="266">
        <v>0.02</v>
      </c>
    </row>
    <row r="206" spans="1:13" ht="13.5" thickBot="1" x14ac:dyDescent="0.25">
      <c r="A206" s="265">
        <v>179</v>
      </c>
      <c r="B206" s="269" t="s">
        <v>521</v>
      </c>
      <c r="C206" s="266">
        <v>1000</v>
      </c>
      <c r="D206" s="266">
        <v>2.2999999999999998</v>
      </c>
      <c r="E206" s="266">
        <v>0.18</v>
      </c>
      <c r="F206" s="266">
        <v>5</v>
      </c>
      <c r="G206" s="266">
        <v>10</v>
      </c>
      <c r="H206" s="268">
        <v>0.21</v>
      </c>
      <c r="I206" s="268">
        <v>0.23</v>
      </c>
      <c r="J206" s="270">
        <f t="shared" si="10"/>
        <v>0.19827586206896555</v>
      </c>
      <c r="K206" s="266">
        <v>6.2</v>
      </c>
      <c r="L206" s="266">
        <v>6.75</v>
      </c>
      <c r="M206" s="266">
        <v>0.06</v>
      </c>
    </row>
    <row r="207" spans="1:13" ht="13.5" thickBot="1" x14ac:dyDescent="0.25">
      <c r="A207" s="265">
        <v>180</v>
      </c>
      <c r="B207" s="269" t="s">
        <v>522</v>
      </c>
      <c r="C207" s="266">
        <v>650</v>
      </c>
      <c r="D207" s="266">
        <v>2.2999999999999998</v>
      </c>
      <c r="E207" s="266">
        <v>0.13</v>
      </c>
      <c r="F207" s="266">
        <v>6</v>
      </c>
      <c r="G207" s="266">
        <v>12</v>
      </c>
      <c r="H207" s="268">
        <v>0.15</v>
      </c>
      <c r="I207" s="268">
        <v>0.18</v>
      </c>
      <c r="J207" s="270">
        <f t="shared" si="10"/>
        <v>0.15517241379310345</v>
      </c>
      <c r="K207" s="266">
        <v>4.26</v>
      </c>
      <c r="L207" s="266">
        <v>4.8899999999999997</v>
      </c>
      <c r="M207" s="266">
        <v>8.3000000000000004E-2</v>
      </c>
    </row>
    <row r="208" spans="1:13" ht="13.5" thickBot="1" x14ac:dyDescent="0.25">
      <c r="A208" s="434" t="s">
        <v>523</v>
      </c>
      <c r="B208" s="435"/>
      <c r="C208" s="435"/>
      <c r="D208" s="435"/>
      <c r="E208" s="435"/>
      <c r="F208" s="435"/>
      <c r="G208" s="435"/>
      <c r="H208" s="435"/>
      <c r="I208" s="435"/>
      <c r="J208" s="435"/>
      <c r="K208" s="435"/>
      <c r="L208" s="435"/>
      <c r="M208" s="436"/>
    </row>
    <row r="209" spans="1:13" ht="13.5" thickBot="1" x14ac:dyDescent="0.25">
      <c r="A209" s="431" t="s">
        <v>524</v>
      </c>
      <c r="B209" s="432"/>
      <c r="C209" s="432"/>
      <c r="D209" s="432"/>
      <c r="E209" s="432"/>
      <c r="F209" s="432"/>
      <c r="G209" s="432"/>
      <c r="H209" s="432"/>
      <c r="I209" s="432"/>
      <c r="J209" s="432"/>
      <c r="K209" s="432"/>
      <c r="L209" s="432"/>
      <c r="M209" s="433"/>
    </row>
    <row r="210" spans="1:13" ht="13.5" thickBot="1" x14ac:dyDescent="0.25">
      <c r="A210" s="265">
        <v>181</v>
      </c>
      <c r="B210" s="269" t="s">
        <v>525</v>
      </c>
      <c r="C210" s="266">
        <v>2500</v>
      </c>
      <c r="D210" s="266">
        <v>0.84</v>
      </c>
      <c r="E210" s="266">
        <v>1.69</v>
      </c>
      <c r="F210" s="266">
        <v>2</v>
      </c>
      <c r="G210" s="266">
        <v>3</v>
      </c>
      <c r="H210" s="268">
        <v>1.92</v>
      </c>
      <c r="I210" s="268">
        <v>2.04</v>
      </c>
      <c r="J210" s="270">
        <f>I210/1.16</f>
        <v>1.7586206896551726</v>
      </c>
      <c r="K210" s="266">
        <v>17.98</v>
      </c>
      <c r="L210" s="266">
        <v>18.95</v>
      </c>
      <c r="M210" s="266">
        <v>0.03</v>
      </c>
    </row>
    <row r="211" spans="1:13" ht="26.25" thickBot="1" x14ac:dyDescent="0.25">
      <c r="A211" s="265">
        <v>182</v>
      </c>
      <c r="B211" s="269" t="s">
        <v>526</v>
      </c>
      <c r="C211" s="266">
        <v>2400</v>
      </c>
      <c r="D211" s="266">
        <v>0.84</v>
      </c>
      <c r="E211" s="266">
        <v>1.51</v>
      </c>
      <c r="F211" s="266">
        <v>2</v>
      </c>
      <c r="G211" s="266">
        <v>3</v>
      </c>
      <c r="H211" s="268">
        <v>1.74</v>
      </c>
      <c r="I211" s="268">
        <v>1.86</v>
      </c>
      <c r="J211" s="270">
        <f>I211/1.16</f>
        <v>1.6034482758620692</v>
      </c>
      <c r="K211" s="266">
        <v>16.77</v>
      </c>
      <c r="L211" s="266">
        <v>17.88</v>
      </c>
      <c r="M211" s="266">
        <v>0.03</v>
      </c>
    </row>
    <row r="212" spans="1:13" ht="13.5" thickBot="1" x14ac:dyDescent="0.25">
      <c r="A212" s="265">
        <v>183</v>
      </c>
      <c r="B212" s="269" t="s">
        <v>527</v>
      </c>
      <c r="C212" s="266">
        <v>1800</v>
      </c>
      <c r="D212" s="266">
        <v>0.84</v>
      </c>
      <c r="E212" s="266">
        <v>0.57999999999999996</v>
      </c>
      <c r="F212" s="266">
        <v>2</v>
      </c>
      <c r="G212" s="266">
        <v>4</v>
      </c>
      <c r="H212" s="268">
        <v>0.76</v>
      </c>
      <c r="I212" s="268">
        <v>0.93</v>
      </c>
      <c r="J212" s="270">
        <f>I212/1.16</f>
        <v>0.80172413793103459</v>
      </c>
      <c r="K212" s="266">
        <v>9.6</v>
      </c>
      <c r="L212" s="266">
        <v>11.09</v>
      </c>
      <c r="M212" s="266">
        <v>0.09</v>
      </c>
    </row>
    <row r="213" spans="1:13" ht="13.5" thickBot="1" x14ac:dyDescent="0.25">
      <c r="A213" s="265">
        <v>184</v>
      </c>
      <c r="B213" s="269" t="s">
        <v>528</v>
      </c>
      <c r="C213" s="266">
        <v>1700</v>
      </c>
      <c r="D213" s="266">
        <v>0.84</v>
      </c>
      <c r="E213" s="266">
        <v>0.52</v>
      </c>
      <c r="F213" s="266">
        <v>2</v>
      </c>
      <c r="G213" s="266">
        <v>4</v>
      </c>
      <c r="H213" s="268">
        <v>0.7</v>
      </c>
      <c r="I213" s="268">
        <v>0.87</v>
      </c>
      <c r="J213" s="270">
        <f>I213/1.16</f>
        <v>0.75</v>
      </c>
      <c r="K213" s="266">
        <v>8.9499999999999993</v>
      </c>
      <c r="L213" s="266">
        <v>10.42</v>
      </c>
      <c r="M213" s="266">
        <v>9.8000000000000004E-2</v>
      </c>
    </row>
    <row r="214" spans="1:13" ht="13.5" thickBot="1" x14ac:dyDescent="0.25">
      <c r="A214" s="265">
        <v>185</v>
      </c>
      <c r="B214" s="269" t="s">
        <v>529</v>
      </c>
      <c r="C214" s="266">
        <v>1600</v>
      </c>
      <c r="D214" s="266">
        <v>0.84</v>
      </c>
      <c r="E214" s="266">
        <v>0.47</v>
      </c>
      <c r="F214" s="266">
        <v>2</v>
      </c>
      <c r="G214" s="266">
        <v>4</v>
      </c>
      <c r="H214" s="268">
        <v>0.7</v>
      </c>
      <c r="I214" s="268">
        <v>0.81</v>
      </c>
      <c r="J214" s="270">
        <f>I214/1.16</f>
        <v>0.69827586206896564</v>
      </c>
      <c r="K214" s="266">
        <v>8.69</v>
      </c>
      <c r="L214" s="266">
        <v>9.76</v>
      </c>
      <c r="M214" s="266">
        <v>0.12</v>
      </c>
    </row>
    <row r="215" spans="1:13" ht="13.5" thickBot="1" x14ac:dyDescent="0.25">
      <c r="A215" s="431" t="s">
        <v>530</v>
      </c>
      <c r="B215" s="432"/>
      <c r="C215" s="432"/>
      <c r="D215" s="432"/>
      <c r="E215" s="432"/>
      <c r="F215" s="432"/>
      <c r="G215" s="432"/>
      <c r="H215" s="432"/>
      <c r="I215" s="432"/>
      <c r="J215" s="432"/>
      <c r="K215" s="432"/>
      <c r="L215" s="432"/>
      <c r="M215" s="433"/>
    </row>
    <row r="216" spans="1:13" ht="13.5" thickBot="1" x14ac:dyDescent="0.25">
      <c r="A216" s="265">
        <v>186</v>
      </c>
      <c r="B216" s="269" t="s">
        <v>531</v>
      </c>
      <c r="C216" s="266">
        <v>2800</v>
      </c>
      <c r="D216" s="266">
        <v>0.88</v>
      </c>
      <c r="E216" s="266">
        <v>3.49</v>
      </c>
      <c r="F216" s="266">
        <v>0</v>
      </c>
      <c r="G216" s="266">
        <v>0</v>
      </c>
      <c r="H216" s="268">
        <v>3.49</v>
      </c>
      <c r="I216" s="268">
        <v>3.49</v>
      </c>
      <c r="J216" s="270">
        <f t="shared" ref="J216:J227" si="11">I216/1.16</f>
        <v>3.0086206896551726</v>
      </c>
      <c r="K216" s="266">
        <v>25.04</v>
      </c>
      <c r="L216" s="266">
        <v>25.04</v>
      </c>
      <c r="M216" s="266">
        <v>8.0000000000000002E-3</v>
      </c>
    </row>
    <row r="217" spans="1:13" ht="13.5" thickBot="1" x14ac:dyDescent="0.25">
      <c r="A217" s="265">
        <v>187</v>
      </c>
      <c r="B217" s="269" t="s">
        <v>188</v>
      </c>
      <c r="C217" s="266">
        <v>2800</v>
      </c>
      <c r="D217" s="266">
        <v>0.88</v>
      </c>
      <c r="E217" s="266">
        <v>2.91</v>
      </c>
      <c r="F217" s="266">
        <v>0</v>
      </c>
      <c r="G217" s="266">
        <v>0</v>
      </c>
      <c r="H217" s="268">
        <v>2.91</v>
      </c>
      <c r="I217" s="268">
        <v>2.91</v>
      </c>
      <c r="J217" s="270">
        <f t="shared" si="11"/>
        <v>2.5086206896551726</v>
      </c>
      <c r="K217" s="266">
        <v>22.86</v>
      </c>
      <c r="L217" s="266">
        <v>22.86</v>
      </c>
      <c r="M217" s="266">
        <v>8.0000000000000002E-3</v>
      </c>
    </row>
    <row r="218" spans="1:13" ht="13.5" thickBot="1" x14ac:dyDescent="0.25">
      <c r="A218" s="265">
        <v>188</v>
      </c>
      <c r="B218" s="269" t="s">
        <v>189</v>
      </c>
      <c r="C218" s="266">
        <v>2000</v>
      </c>
      <c r="D218" s="266">
        <v>0.88</v>
      </c>
      <c r="E218" s="266">
        <v>0.93</v>
      </c>
      <c r="F218" s="266">
        <v>2</v>
      </c>
      <c r="G218" s="266">
        <v>3</v>
      </c>
      <c r="H218" s="268">
        <v>1.1599999999999999</v>
      </c>
      <c r="I218" s="268">
        <v>1.28</v>
      </c>
      <c r="J218" s="270">
        <f t="shared" si="11"/>
        <v>1.1034482758620692</v>
      </c>
      <c r="K218" s="266">
        <v>12.77</v>
      </c>
      <c r="L218" s="266">
        <v>13.7</v>
      </c>
      <c r="M218" s="266">
        <v>0.06</v>
      </c>
    </row>
    <row r="219" spans="1:13" ht="13.5" thickBot="1" x14ac:dyDescent="0.25">
      <c r="A219" s="265">
        <v>189</v>
      </c>
      <c r="B219" s="266" t="s">
        <v>443</v>
      </c>
      <c r="C219" s="266">
        <v>1800</v>
      </c>
      <c r="D219" s="266">
        <v>0.88</v>
      </c>
      <c r="E219" s="266">
        <v>0.7</v>
      </c>
      <c r="F219" s="266">
        <v>2</v>
      </c>
      <c r="G219" s="266">
        <v>3</v>
      </c>
      <c r="H219" s="268">
        <v>0.93</v>
      </c>
      <c r="I219" s="268">
        <v>1.05</v>
      </c>
      <c r="J219" s="270">
        <f t="shared" si="11"/>
        <v>0.90517241379310354</v>
      </c>
      <c r="K219" s="266">
        <v>10.85</v>
      </c>
      <c r="L219" s="266">
        <v>11.77</v>
      </c>
      <c r="M219" s="266">
        <v>7.4999999999999997E-2</v>
      </c>
    </row>
    <row r="220" spans="1:13" ht="13.5" thickBot="1" x14ac:dyDescent="0.25">
      <c r="A220" s="265">
        <v>190</v>
      </c>
      <c r="B220" s="266" t="s">
        <v>443</v>
      </c>
      <c r="C220" s="266">
        <v>1600</v>
      </c>
      <c r="D220" s="266">
        <v>0.88</v>
      </c>
      <c r="E220" s="266">
        <v>0.57999999999999996</v>
      </c>
      <c r="F220" s="266">
        <v>2</v>
      </c>
      <c r="G220" s="266">
        <v>3</v>
      </c>
      <c r="H220" s="268">
        <v>0.73</v>
      </c>
      <c r="I220" s="268">
        <v>0.81</v>
      </c>
      <c r="J220" s="270">
        <f t="shared" si="11"/>
        <v>0.69827586206896564</v>
      </c>
      <c r="K220" s="266">
        <v>9.06</v>
      </c>
      <c r="L220" s="266">
        <v>9.75</v>
      </c>
      <c r="M220" s="266">
        <v>0.09</v>
      </c>
    </row>
    <row r="221" spans="1:13" ht="13.5" thickBot="1" x14ac:dyDescent="0.25">
      <c r="A221" s="265">
        <v>191</v>
      </c>
      <c r="B221" s="266" t="s">
        <v>443</v>
      </c>
      <c r="C221" s="266">
        <v>1400</v>
      </c>
      <c r="D221" s="266">
        <v>0.88</v>
      </c>
      <c r="E221" s="266">
        <v>0.49</v>
      </c>
      <c r="F221" s="266">
        <v>2</v>
      </c>
      <c r="G221" s="266">
        <v>3</v>
      </c>
      <c r="H221" s="268">
        <v>0.56000000000000005</v>
      </c>
      <c r="I221" s="268">
        <v>0.57999999999999996</v>
      </c>
      <c r="J221" s="270">
        <f t="shared" si="11"/>
        <v>0.5</v>
      </c>
      <c r="K221" s="266">
        <v>7.42</v>
      </c>
      <c r="L221" s="266">
        <v>7.72</v>
      </c>
      <c r="M221" s="266">
        <v>0.11</v>
      </c>
    </row>
    <row r="222" spans="1:13" ht="13.5" thickBot="1" x14ac:dyDescent="0.25">
      <c r="A222" s="265">
        <v>192</v>
      </c>
      <c r="B222" s="269" t="s">
        <v>532</v>
      </c>
      <c r="C222" s="266">
        <v>2000</v>
      </c>
      <c r="D222" s="266">
        <v>0.88</v>
      </c>
      <c r="E222" s="266">
        <v>0.76</v>
      </c>
      <c r="F222" s="266">
        <v>3</v>
      </c>
      <c r="G222" s="266">
        <v>5</v>
      </c>
      <c r="H222" s="268">
        <v>0.93</v>
      </c>
      <c r="I222" s="268">
        <v>1.05</v>
      </c>
      <c r="J222" s="270">
        <f t="shared" si="11"/>
        <v>0.90517241379310354</v>
      </c>
      <c r="K222" s="266">
        <v>11.68</v>
      </c>
      <c r="L222" s="266">
        <v>12.92</v>
      </c>
      <c r="M222" s="266">
        <v>7.4999999999999997E-2</v>
      </c>
    </row>
    <row r="223" spans="1:13" ht="13.5" thickBot="1" x14ac:dyDescent="0.25">
      <c r="A223" s="265">
        <v>193</v>
      </c>
      <c r="B223" s="266" t="s">
        <v>443</v>
      </c>
      <c r="C223" s="266">
        <v>1800</v>
      </c>
      <c r="D223" s="266">
        <v>0.88</v>
      </c>
      <c r="E223" s="266">
        <v>0.56000000000000005</v>
      </c>
      <c r="F223" s="266">
        <v>3</v>
      </c>
      <c r="G223" s="266">
        <v>5</v>
      </c>
      <c r="H223" s="268">
        <v>0.7</v>
      </c>
      <c r="I223" s="268">
        <v>0.81</v>
      </c>
      <c r="J223" s="270">
        <f t="shared" si="11"/>
        <v>0.69827586206896564</v>
      </c>
      <c r="K223" s="266">
        <v>9.61</v>
      </c>
      <c r="L223" s="266">
        <v>10.76</v>
      </c>
      <c r="M223" s="266">
        <v>8.3000000000000004E-2</v>
      </c>
    </row>
    <row r="224" spans="1:13" ht="13.5" thickBot="1" x14ac:dyDescent="0.25">
      <c r="A224" s="265">
        <v>194</v>
      </c>
      <c r="B224" s="266" t="s">
        <v>443</v>
      </c>
      <c r="C224" s="266">
        <v>1600</v>
      </c>
      <c r="D224" s="266">
        <v>0.88</v>
      </c>
      <c r="E224" s="266">
        <v>0.41</v>
      </c>
      <c r="F224" s="266">
        <v>3</v>
      </c>
      <c r="G224" s="266">
        <v>5</v>
      </c>
      <c r="H224" s="268">
        <v>0.52</v>
      </c>
      <c r="I224" s="268">
        <v>0.64</v>
      </c>
      <c r="J224" s="270">
        <f t="shared" si="11"/>
        <v>0.55172413793103459</v>
      </c>
      <c r="K224" s="266">
        <v>7.81</v>
      </c>
      <c r="L224" s="266">
        <v>9.02</v>
      </c>
      <c r="M224" s="266">
        <v>0.09</v>
      </c>
    </row>
    <row r="225" spans="1:13" ht="13.5" thickBot="1" x14ac:dyDescent="0.25">
      <c r="A225" s="265">
        <v>195</v>
      </c>
      <c r="B225" s="266" t="s">
        <v>443</v>
      </c>
      <c r="C225" s="266">
        <v>1400</v>
      </c>
      <c r="D225" s="266">
        <v>0.88</v>
      </c>
      <c r="E225" s="266">
        <v>0.33</v>
      </c>
      <c r="F225" s="266">
        <v>3</v>
      </c>
      <c r="G225" s="266">
        <v>5</v>
      </c>
      <c r="H225" s="268">
        <v>0.43</v>
      </c>
      <c r="I225" s="268">
        <v>0.52</v>
      </c>
      <c r="J225" s="270">
        <f t="shared" si="11"/>
        <v>0.44827586206896558</v>
      </c>
      <c r="K225" s="266">
        <v>6.64</v>
      </c>
      <c r="L225" s="266">
        <v>7.6</v>
      </c>
      <c r="M225" s="266">
        <v>9.8000000000000004E-2</v>
      </c>
    </row>
    <row r="226" spans="1:13" ht="13.5" thickBot="1" x14ac:dyDescent="0.25">
      <c r="A226" s="265">
        <v>196</v>
      </c>
      <c r="B226" s="266" t="s">
        <v>443</v>
      </c>
      <c r="C226" s="266">
        <v>1200</v>
      </c>
      <c r="D226" s="266">
        <v>0.88</v>
      </c>
      <c r="E226" s="266">
        <v>0.27</v>
      </c>
      <c r="F226" s="266">
        <v>3</v>
      </c>
      <c r="G226" s="266">
        <v>5</v>
      </c>
      <c r="H226" s="268">
        <v>0.35</v>
      </c>
      <c r="I226" s="268">
        <v>0.41</v>
      </c>
      <c r="J226" s="270">
        <f t="shared" si="11"/>
        <v>0.35344827586206895</v>
      </c>
      <c r="K226" s="266">
        <v>5.55</v>
      </c>
      <c r="L226" s="266">
        <v>6.25</v>
      </c>
      <c r="M226" s="266">
        <v>0.11</v>
      </c>
    </row>
    <row r="227" spans="1:13" ht="13.5" thickBot="1" x14ac:dyDescent="0.25">
      <c r="A227" s="265">
        <v>197</v>
      </c>
      <c r="B227" s="266" t="s">
        <v>443</v>
      </c>
      <c r="C227" s="266">
        <v>1000</v>
      </c>
      <c r="D227" s="266">
        <v>0.88</v>
      </c>
      <c r="E227" s="266">
        <v>0.21</v>
      </c>
      <c r="F227" s="266">
        <v>3</v>
      </c>
      <c r="G227" s="266">
        <v>5</v>
      </c>
      <c r="H227" s="268">
        <v>0.24</v>
      </c>
      <c r="I227" s="268">
        <v>0.28999999999999998</v>
      </c>
      <c r="J227" s="270">
        <f t="shared" si="11"/>
        <v>0.25</v>
      </c>
      <c r="K227" s="266">
        <v>4.2</v>
      </c>
      <c r="L227" s="266">
        <v>4.8</v>
      </c>
      <c r="M227" s="266">
        <v>0.11</v>
      </c>
    </row>
    <row r="228" spans="1:13" ht="13.5" thickBot="1" x14ac:dyDescent="0.25">
      <c r="A228" s="431" t="s">
        <v>533</v>
      </c>
      <c r="B228" s="432"/>
      <c r="C228" s="432"/>
      <c r="D228" s="432"/>
      <c r="E228" s="432"/>
      <c r="F228" s="432"/>
      <c r="G228" s="432"/>
      <c r="H228" s="432"/>
      <c r="I228" s="432"/>
      <c r="J228" s="432"/>
      <c r="K228" s="432"/>
      <c r="L228" s="432"/>
      <c r="M228" s="433"/>
    </row>
    <row r="229" spans="1:13" ht="26.25" thickBot="1" x14ac:dyDescent="0.25">
      <c r="A229" s="265">
        <v>198</v>
      </c>
      <c r="B229" s="269" t="s">
        <v>534</v>
      </c>
      <c r="C229" s="266">
        <v>1800</v>
      </c>
      <c r="D229" s="266">
        <v>0.84</v>
      </c>
      <c r="E229" s="266">
        <v>0.35</v>
      </c>
      <c r="F229" s="266">
        <v>2</v>
      </c>
      <c r="G229" s="266">
        <v>3</v>
      </c>
      <c r="H229" s="268">
        <v>0.47</v>
      </c>
      <c r="I229" s="268">
        <v>0.52</v>
      </c>
      <c r="J229" s="270">
        <f t="shared" ref="J229:J240" si="12">I229/1.16</f>
        <v>0.44827586206896558</v>
      </c>
      <c r="K229" s="266">
        <v>7.55</v>
      </c>
      <c r="L229" s="266">
        <v>8.1199999999999992</v>
      </c>
      <c r="M229" s="266">
        <v>0.03</v>
      </c>
    </row>
    <row r="230" spans="1:13" ht="13.5" thickBot="1" x14ac:dyDescent="0.25">
      <c r="A230" s="265">
        <v>199</v>
      </c>
      <c r="B230" s="266" t="s">
        <v>446</v>
      </c>
      <c r="C230" s="266">
        <v>1600</v>
      </c>
      <c r="D230" s="266">
        <v>0.84</v>
      </c>
      <c r="E230" s="266">
        <v>0.23</v>
      </c>
      <c r="F230" s="266">
        <v>2</v>
      </c>
      <c r="G230" s="266">
        <v>3</v>
      </c>
      <c r="H230" s="268">
        <v>0.35</v>
      </c>
      <c r="I230" s="268">
        <v>0.41</v>
      </c>
      <c r="J230" s="270">
        <f t="shared" si="12"/>
        <v>0.35344827586206895</v>
      </c>
      <c r="K230" s="266">
        <v>6.14</v>
      </c>
      <c r="L230" s="266">
        <v>6.8</v>
      </c>
      <c r="M230" s="266">
        <v>0.03</v>
      </c>
    </row>
    <row r="231" spans="1:13" ht="26.25" thickBot="1" x14ac:dyDescent="0.25">
      <c r="A231" s="265">
        <v>200</v>
      </c>
      <c r="B231" s="269" t="s">
        <v>535</v>
      </c>
      <c r="C231" s="266">
        <v>1400</v>
      </c>
      <c r="D231" s="266">
        <v>1.68</v>
      </c>
      <c r="E231" s="266">
        <v>0.27</v>
      </c>
      <c r="F231" s="266">
        <v>0</v>
      </c>
      <c r="G231" s="266">
        <v>0</v>
      </c>
      <c r="H231" s="268">
        <v>0.27</v>
      </c>
      <c r="I231" s="268">
        <v>0.27</v>
      </c>
      <c r="J231" s="270">
        <f t="shared" si="12"/>
        <v>0.23275862068965519</v>
      </c>
      <c r="K231" s="266">
        <v>6.8</v>
      </c>
      <c r="L231" s="266">
        <v>6.8</v>
      </c>
      <c r="M231" s="266">
        <v>8.0000000000000002E-3</v>
      </c>
    </row>
    <row r="232" spans="1:13" ht="13.5" thickBot="1" x14ac:dyDescent="0.25">
      <c r="A232" s="265">
        <v>201</v>
      </c>
      <c r="B232" s="266" t="s">
        <v>446</v>
      </c>
      <c r="C232" s="266">
        <v>1200</v>
      </c>
      <c r="D232" s="266">
        <v>1.68</v>
      </c>
      <c r="E232" s="266">
        <v>0.22</v>
      </c>
      <c r="F232" s="266">
        <v>0</v>
      </c>
      <c r="G232" s="266">
        <v>0</v>
      </c>
      <c r="H232" s="268">
        <v>0.22</v>
      </c>
      <c r="I232" s="268">
        <v>0.22</v>
      </c>
      <c r="J232" s="270">
        <f t="shared" si="12"/>
        <v>0.18965517241379312</v>
      </c>
      <c r="K232" s="266">
        <v>5.69</v>
      </c>
      <c r="L232" s="266">
        <v>5.69</v>
      </c>
      <c r="M232" s="266">
        <v>8.0000000000000002E-3</v>
      </c>
    </row>
    <row r="233" spans="1:13" ht="13.5" thickBot="1" x14ac:dyDescent="0.25">
      <c r="A233" s="265">
        <v>202</v>
      </c>
      <c r="B233" s="266" t="s">
        <v>443</v>
      </c>
      <c r="C233" s="266">
        <v>1000</v>
      </c>
      <c r="D233" s="266">
        <v>1.68</v>
      </c>
      <c r="E233" s="266">
        <v>0.17</v>
      </c>
      <c r="F233" s="266">
        <v>0</v>
      </c>
      <c r="G233" s="266">
        <v>0</v>
      </c>
      <c r="H233" s="268">
        <v>0.17</v>
      </c>
      <c r="I233" s="268">
        <v>0.17</v>
      </c>
      <c r="J233" s="270">
        <f t="shared" si="12"/>
        <v>0.14655172413793105</v>
      </c>
      <c r="K233" s="266">
        <v>4.5599999999999996</v>
      </c>
      <c r="L233" s="266">
        <v>4.5599999999999996</v>
      </c>
      <c r="M233" s="266">
        <v>8.0000000000000002E-3</v>
      </c>
    </row>
    <row r="234" spans="1:13" ht="13.5" thickBot="1" x14ac:dyDescent="0.25">
      <c r="A234" s="265">
        <v>203</v>
      </c>
      <c r="B234" s="269" t="s">
        <v>536</v>
      </c>
      <c r="C234" s="266">
        <v>2100</v>
      </c>
      <c r="D234" s="266">
        <v>1.68</v>
      </c>
      <c r="E234" s="266">
        <v>1.05</v>
      </c>
      <c r="F234" s="266">
        <v>0</v>
      </c>
      <c r="G234" s="266">
        <v>0</v>
      </c>
      <c r="H234" s="268">
        <v>1.05</v>
      </c>
      <c r="I234" s="268">
        <v>1.05</v>
      </c>
      <c r="J234" s="270">
        <f t="shared" si="12"/>
        <v>0.90517241379310354</v>
      </c>
      <c r="K234" s="266">
        <v>16.43</v>
      </c>
      <c r="L234" s="266">
        <v>16.43</v>
      </c>
      <c r="M234" s="266">
        <v>8.0000000000000002E-3</v>
      </c>
    </row>
    <row r="235" spans="1:13" ht="26.25" thickBot="1" x14ac:dyDescent="0.25">
      <c r="A235" s="265">
        <v>204</v>
      </c>
      <c r="B235" s="269" t="s">
        <v>537</v>
      </c>
      <c r="C235" s="266">
        <v>600</v>
      </c>
      <c r="D235" s="266">
        <v>1.68</v>
      </c>
      <c r="E235" s="266">
        <v>0.17</v>
      </c>
      <c r="F235" s="266">
        <v>0</v>
      </c>
      <c r="G235" s="266">
        <v>0</v>
      </c>
      <c r="H235" s="268">
        <v>0.17</v>
      </c>
      <c r="I235" s="268">
        <v>0.17</v>
      </c>
      <c r="J235" s="270">
        <f t="shared" si="12"/>
        <v>0.14655172413793105</v>
      </c>
      <c r="K235" s="266">
        <v>3.53</v>
      </c>
      <c r="L235" s="266">
        <v>3.53</v>
      </c>
      <c r="M235" s="266" t="s">
        <v>500</v>
      </c>
    </row>
    <row r="236" spans="1:13" ht="26.25" thickBot="1" x14ac:dyDescent="0.25">
      <c r="A236" s="265">
        <v>205</v>
      </c>
      <c r="B236" s="269" t="s">
        <v>538</v>
      </c>
      <c r="C236" s="266">
        <v>1800</v>
      </c>
      <c r="D236" s="266">
        <v>1.47</v>
      </c>
      <c r="E236" s="266">
        <v>0.38</v>
      </c>
      <c r="F236" s="266">
        <v>0</v>
      </c>
      <c r="G236" s="266">
        <v>0</v>
      </c>
      <c r="H236" s="268">
        <v>0.38</v>
      </c>
      <c r="I236" s="268">
        <v>0.38</v>
      </c>
      <c r="J236" s="270">
        <f t="shared" si="12"/>
        <v>0.32758620689655177</v>
      </c>
      <c r="K236" s="266">
        <v>8.56</v>
      </c>
      <c r="L236" s="266">
        <v>8.56</v>
      </c>
      <c r="M236" s="266">
        <v>2E-3</v>
      </c>
    </row>
    <row r="237" spans="1:13" ht="13.5" thickBot="1" x14ac:dyDescent="0.25">
      <c r="A237" s="265">
        <v>206</v>
      </c>
      <c r="B237" s="266" t="s">
        <v>446</v>
      </c>
      <c r="C237" s="266">
        <v>1600</v>
      </c>
      <c r="D237" s="266">
        <v>1.47</v>
      </c>
      <c r="E237" s="266">
        <v>0.33</v>
      </c>
      <c r="F237" s="266">
        <v>0</v>
      </c>
      <c r="G237" s="266">
        <v>0</v>
      </c>
      <c r="H237" s="268">
        <v>0.33</v>
      </c>
      <c r="I237" s="268">
        <v>0.33</v>
      </c>
      <c r="J237" s="270">
        <f t="shared" si="12"/>
        <v>0.28448275862068967</v>
      </c>
      <c r="K237" s="266">
        <v>7.52</v>
      </c>
      <c r="L237" s="266">
        <v>7.52</v>
      </c>
      <c r="M237" s="266">
        <v>2E-3</v>
      </c>
    </row>
    <row r="238" spans="1:13" ht="26.25" thickBot="1" x14ac:dyDescent="0.25">
      <c r="A238" s="265">
        <v>207</v>
      </c>
      <c r="B238" s="269" t="s">
        <v>539</v>
      </c>
      <c r="C238" s="266">
        <v>1800</v>
      </c>
      <c r="D238" s="266">
        <v>1.47</v>
      </c>
      <c r="E238" s="266">
        <v>0.35</v>
      </c>
      <c r="F238" s="266">
        <v>0</v>
      </c>
      <c r="G238" s="266">
        <v>0</v>
      </c>
      <c r="H238" s="268">
        <v>0.35</v>
      </c>
      <c r="I238" s="268">
        <v>0.35</v>
      </c>
      <c r="J238" s="270">
        <f t="shared" si="12"/>
        <v>0.30172413793103448</v>
      </c>
      <c r="K238" s="266">
        <v>8.2200000000000006</v>
      </c>
      <c r="L238" s="266">
        <v>8.2200000000000006</v>
      </c>
      <c r="M238" s="266">
        <v>2E-3</v>
      </c>
    </row>
    <row r="239" spans="1:13" ht="13.5" thickBot="1" x14ac:dyDescent="0.25">
      <c r="A239" s="265">
        <v>208</v>
      </c>
      <c r="B239" s="266" t="s">
        <v>446</v>
      </c>
      <c r="C239" s="266">
        <v>1600</v>
      </c>
      <c r="D239" s="266">
        <v>1.47</v>
      </c>
      <c r="E239" s="266">
        <v>0.28999999999999998</v>
      </c>
      <c r="F239" s="266">
        <v>0</v>
      </c>
      <c r="G239" s="266">
        <v>0</v>
      </c>
      <c r="H239" s="268">
        <v>0.28999999999999998</v>
      </c>
      <c r="I239" s="268">
        <v>0.28999999999999998</v>
      </c>
      <c r="J239" s="270">
        <f t="shared" si="12"/>
        <v>0.25</v>
      </c>
      <c r="K239" s="266">
        <v>7.05</v>
      </c>
      <c r="L239" s="266">
        <v>7.05</v>
      </c>
      <c r="M239" s="266">
        <v>2E-3</v>
      </c>
    </row>
    <row r="240" spans="1:13" ht="13.5" thickBot="1" x14ac:dyDescent="0.25">
      <c r="A240" s="265">
        <v>209</v>
      </c>
      <c r="B240" s="266" t="s">
        <v>443</v>
      </c>
      <c r="C240" s="266">
        <v>1400</v>
      </c>
      <c r="D240" s="266">
        <v>1.47</v>
      </c>
      <c r="E240" s="266">
        <v>0.23</v>
      </c>
      <c r="F240" s="266">
        <v>0</v>
      </c>
      <c r="G240" s="266">
        <v>0</v>
      </c>
      <c r="H240" s="268">
        <v>0.23</v>
      </c>
      <c r="I240" s="268">
        <v>0.23</v>
      </c>
      <c r="J240" s="270">
        <f t="shared" si="12"/>
        <v>0.19827586206896555</v>
      </c>
      <c r="K240" s="266">
        <v>5.87</v>
      </c>
      <c r="L240" s="266">
        <v>5.87</v>
      </c>
      <c r="M240" s="266">
        <v>2E-3</v>
      </c>
    </row>
    <row r="241" spans="1:13" ht="13.5" thickBot="1" x14ac:dyDescent="0.25">
      <c r="A241" s="431" t="s">
        <v>540</v>
      </c>
      <c r="B241" s="432"/>
      <c r="C241" s="432"/>
      <c r="D241" s="432"/>
      <c r="E241" s="432"/>
      <c r="F241" s="432"/>
      <c r="G241" s="432"/>
      <c r="H241" s="432"/>
      <c r="I241" s="432"/>
      <c r="J241" s="432"/>
      <c r="K241" s="432"/>
      <c r="L241" s="432"/>
      <c r="M241" s="433"/>
    </row>
    <row r="242" spans="1:13" ht="26.25" thickBot="1" x14ac:dyDescent="0.25">
      <c r="A242" s="265">
        <v>210</v>
      </c>
      <c r="B242" s="269" t="s">
        <v>541</v>
      </c>
      <c r="C242" s="266">
        <v>7850</v>
      </c>
      <c r="D242" s="266">
        <v>0.48199999999999998</v>
      </c>
      <c r="E242" s="266">
        <v>58</v>
      </c>
      <c r="F242" s="266">
        <v>0</v>
      </c>
      <c r="G242" s="266">
        <v>0</v>
      </c>
      <c r="H242" s="268">
        <v>58</v>
      </c>
      <c r="I242" s="268">
        <v>58</v>
      </c>
      <c r="J242" s="282">
        <f>I242/1.16</f>
        <v>50</v>
      </c>
      <c r="K242" s="266">
        <v>126.5</v>
      </c>
      <c r="L242" s="266">
        <v>126.5</v>
      </c>
      <c r="M242" s="266">
        <v>0</v>
      </c>
    </row>
    <row r="243" spans="1:13" ht="13.5" thickBot="1" x14ac:dyDescent="0.25">
      <c r="A243" s="265">
        <v>211</v>
      </c>
      <c r="B243" s="269" t="s">
        <v>542</v>
      </c>
      <c r="C243" s="266">
        <v>7200</v>
      </c>
      <c r="D243" s="266">
        <v>0.48199999999999998</v>
      </c>
      <c r="E243" s="266">
        <v>50</v>
      </c>
      <c r="F243" s="266">
        <v>0</v>
      </c>
      <c r="G243" s="266">
        <v>0</v>
      </c>
      <c r="H243" s="268">
        <v>50</v>
      </c>
      <c r="I243" s="268">
        <v>50</v>
      </c>
      <c r="J243" s="282">
        <f>I243/1.16</f>
        <v>43.103448275862071</v>
      </c>
      <c r="K243" s="266">
        <v>112.5</v>
      </c>
      <c r="L243" s="266">
        <v>112.5</v>
      </c>
      <c r="M243" s="266">
        <v>0</v>
      </c>
    </row>
    <row r="244" spans="1:13" ht="13.5" thickBot="1" x14ac:dyDescent="0.25">
      <c r="A244" s="265">
        <v>212</v>
      </c>
      <c r="B244" s="269" t="s">
        <v>543</v>
      </c>
      <c r="C244" s="266">
        <v>2600</v>
      </c>
      <c r="D244" s="266">
        <v>0.84</v>
      </c>
      <c r="E244" s="266">
        <v>221</v>
      </c>
      <c r="F244" s="266">
        <v>0</v>
      </c>
      <c r="G244" s="266">
        <v>0</v>
      </c>
      <c r="H244" s="268">
        <v>221</v>
      </c>
      <c r="I244" s="268">
        <v>221</v>
      </c>
      <c r="J244" s="282">
        <f>I244/1.16</f>
        <v>190.51724137931035</v>
      </c>
      <c r="K244" s="266">
        <v>187.6</v>
      </c>
      <c r="L244" s="266">
        <v>187.6</v>
      </c>
      <c r="M244" s="266">
        <v>0</v>
      </c>
    </row>
    <row r="245" spans="1:13" ht="13.5" thickBot="1" x14ac:dyDescent="0.25">
      <c r="A245" s="265">
        <v>213</v>
      </c>
      <c r="B245" s="269" t="s">
        <v>544</v>
      </c>
      <c r="C245" s="266">
        <v>8500</v>
      </c>
      <c r="D245" s="266">
        <v>0.42</v>
      </c>
      <c r="E245" s="266">
        <v>407</v>
      </c>
      <c r="F245" s="266">
        <v>0</v>
      </c>
      <c r="G245" s="266">
        <v>0</v>
      </c>
      <c r="H245" s="268">
        <v>407</v>
      </c>
      <c r="I245" s="268">
        <v>407</v>
      </c>
      <c r="J245" s="282">
        <f>I245/1.16</f>
        <v>350.86206896551727</v>
      </c>
      <c r="K245" s="266">
        <v>326</v>
      </c>
      <c r="L245" s="266">
        <v>326</v>
      </c>
      <c r="M245" s="266">
        <v>0</v>
      </c>
    </row>
    <row r="246" spans="1:13" ht="13.5" thickBot="1" x14ac:dyDescent="0.25">
      <c r="A246" s="265">
        <v>214</v>
      </c>
      <c r="B246" s="269" t="s">
        <v>545</v>
      </c>
      <c r="C246" s="266">
        <v>2500</v>
      </c>
      <c r="D246" s="266">
        <v>0.84</v>
      </c>
      <c r="E246" s="266">
        <v>0.76</v>
      </c>
      <c r="F246" s="266">
        <v>0</v>
      </c>
      <c r="G246" s="266">
        <v>0</v>
      </c>
      <c r="H246" s="268">
        <v>0.76</v>
      </c>
      <c r="I246" s="268">
        <v>0.76</v>
      </c>
      <c r="J246" s="270">
        <f>I246/1.16</f>
        <v>0.65517241379310354</v>
      </c>
      <c r="K246" s="266">
        <v>10.79</v>
      </c>
      <c r="L246" s="266">
        <v>10.79</v>
      </c>
      <c r="M246" s="266">
        <v>0</v>
      </c>
    </row>
    <row r="252" spans="1:13" ht="76.5" customHeight="1" x14ac:dyDescent="0.25">
      <c r="B252" s="283" t="s">
        <v>546</v>
      </c>
    </row>
    <row r="253" spans="1:13" x14ac:dyDescent="0.2">
      <c r="B253" s="284" t="s">
        <v>547</v>
      </c>
    </row>
    <row r="254" spans="1:13" ht="33.75" customHeight="1" x14ac:dyDescent="0.3">
      <c r="B254" s="285" t="s">
        <v>558</v>
      </c>
    </row>
  </sheetData>
  <sheetProtection sheet="1" objects="1" scenarios="1"/>
  <mergeCells count="74">
    <mergeCell ref="C1:E1"/>
    <mergeCell ref="F1:G1"/>
    <mergeCell ref="H1:M1"/>
    <mergeCell ref="A2:A7"/>
    <mergeCell ref="B2:B7"/>
    <mergeCell ref="F2:G2"/>
    <mergeCell ref="F3:G3"/>
    <mergeCell ref="F4:G4"/>
    <mergeCell ref="F5:G5"/>
    <mergeCell ref="F6:G6"/>
    <mergeCell ref="H2:I2"/>
    <mergeCell ref="H3:I3"/>
    <mergeCell ref="H4:I4"/>
    <mergeCell ref="H5:I5"/>
    <mergeCell ref="K2:L2"/>
    <mergeCell ref="K3:L3"/>
    <mergeCell ref="K4:L4"/>
    <mergeCell ref="K5:L5"/>
    <mergeCell ref="K6:L6"/>
    <mergeCell ref="K7:L7"/>
    <mergeCell ref="A9:M9"/>
    <mergeCell ref="A10:M10"/>
    <mergeCell ref="F7:G7"/>
    <mergeCell ref="H6:I6"/>
    <mergeCell ref="H7:I7"/>
    <mergeCell ref="A106:M106"/>
    <mergeCell ref="A42:M42"/>
    <mergeCell ref="A59:M59"/>
    <mergeCell ref="A60:A61"/>
    <mergeCell ref="C60:C61"/>
    <mergeCell ref="D60:D61"/>
    <mergeCell ref="E60:E61"/>
    <mergeCell ref="F60:F61"/>
    <mergeCell ref="G60:G61"/>
    <mergeCell ref="H60:H61"/>
    <mergeCell ref="I60:I61"/>
    <mergeCell ref="K60:K61"/>
    <mergeCell ref="L60:L61"/>
    <mergeCell ref="M60:M61"/>
    <mergeCell ref="A80:M80"/>
    <mergeCell ref="A98:M98"/>
    <mergeCell ref="A107:M107"/>
    <mergeCell ref="A122:M122"/>
    <mergeCell ref="L196:L197"/>
    <mergeCell ref="M196:M197"/>
    <mergeCell ref="A175:M175"/>
    <mergeCell ref="A184:M184"/>
    <mergeCell ref="A192:M192"/>
    <mergeCell ref="A196:A197"/>
    <mergeCell ref="C196:C197"/>
    <mergeCell ref="D196:D197"/>
    <mergeCell ref="E196:E197"/>
    <mergeCell ref="F196:F197"/>
    <mergeCell ref="E198:E199"/>
    <mergeCell ref="I196:I197"/>
    <mergeCell ref="K196:K197"/>
    <mergeCell ref="G196:G197"/>
    <mergeCell ref="H196:H197"/>
    <mergeCell ref="K198:K199"/>
    <mergeCell ref="L198:L199"/>
    <mergeCell ref="M198:M199"/>
    <mergeCell ref="A200:M200"/>
    <mergeCell ref="F198:F199"/>
    <mergeCell ref="G198:G199"/>
    <mergeCell ref="H198:H199"/>
    <mergeCell ref="I198:I199"/>
    <mergeCell ref="A198:A199"/>
    <mergeCell ref="C198:C199"/>
    <mergeCell ref="D198:D199"/>
    <mergeCell ref="A241:M241"/>
    <mergeCell ref="A208:M208"/>
    <mergeCell ref="A209:M209"/>
    <mergeCell ref="A215:M215"/>
    <mergeCell ref="A228:M228"/>
  </mergeCells>
  <phoneticPr fontId="31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529" r:id="rId4">
          <objectPr defaultSize="0" autoPict="0" r:id="rId5">
            <anchor moveWithCells="1" sizeWithCells="1">
              <from>
                <xdr:col>2</xdr:col>
                <xdr:colOff>0</xdr:colOff>
                <xdr:row>3</xdr:row>
                <xdr:rowOff>0</xdr:rowOff>
              </from>
              <to>
                <xdr:col>2</xdr:col>
                <xdr:colOff>180975</xdr:colOff>
                <xdr:row>4</xdr:row>
                <xdr:rowOff>19050</xdr:rowOff>
              </to>
            </anchor>
          </objectPr>
        </oleObject>
      </mc:Choice>
      <mc:Fallback>
        <oleObject progId="Equation.3" shapeId="22529" r:id="rId4"/>
      </mc:Fallback>
    </mc:AlternateContent>
    <mc:AlternateContent xmlns:mc="http://schemas.openxmlformats.org/markup-compatibility/2006">
      <mc:Choice Requires="x14">
        <oleObject progId="Equation.3" shapeId="22530" r:id="rId6">
          <objectPr defaultSize="0" autoPict="0" r:id="rId7">
            <anchor moveWithCells="1" sizeWithCells="1">
              <from>
                <xdr:col>3</xdr:col>
                <xdr:colOff>0</xdr:colOff>
                <xdr:row>4</xdr:row>
                <xdr:rowOff>0</xdr:rowOff>
              </from>
              <to>
                <xdr:col>3</xdr:col>
                <xdr:colOff>161925</xdr:colOff>
                <xdr:row>4</xdr:row>
                <xdr:rowOff>190500</xdr:rowOff>
              </to>
            </anchor>
          </objectPr>
        </oleObject>
      </mc:Choice>
      <mc:Fallback>
        <oleObject progId="Equation.3" shapeId="22530" r:id="rId6"/>
      </mc:Fallback>
    </mc:AlternateContent>
    <mc:AlternateContent xmlns:mc="http://schemas.openxmlformats.org/markup-compatibility/2006">
      <mc:Choice Requires="x14">
        <oleObject progId="Equation.3" shapeId="22531" r:id="rId8">
          <objectPr defaultSize="0" autoPict="0" r:id="rId9">
            <anchor moveWithCells="1" siz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190500</xdr:colOff>
                <xdr:row>5</xdr:row>
                <xdr:rowOff>190500</xdr:rowOff>
              </to>
            </anchor>
          </objectPr>
        </oleObject>
      </mc:Choice>
      <mc:Fallback>
        <oleObject progId="Equation.3" shapeId="22531" r:id="rId8"/>
      </mc:Fallback>
    </mc:AlternateContent>
    <mc:AlternateContent xmlns:mc="http://schemas.openxmlformats.org/markup-compatibility/2006">
      <mc:Choice Requires="x14">
        <oleObject progId="Equation.3" shapeId="22532" r:id="rId10">
          <objectPr defaultSize="0" autoPict="0" r:id="rId11">
            <anchor moveWithCells="1" sizeWithCells="1">
              <from>
                <xdr:col>1</xdr:col>
                <xdr:colOff>876300</xdr:colOff>
                <xdr:row>251</xdr:row>
                <xdr:rowOff>828675</xdr:rowOff>
              </from>
              <to>
                <xdr:col>4</xdr:col>
                <xdr:colOff>504825</xdr:colOff>
                <xdr:row>253</xdr:row>
                <xdr:rowOff>228600</xdr:rowOff>
              </to>
            </anchor>
          </objectPr>
        </oleObject>
      </mc:Choice>
      <mc:Fallback>
        <oleObject progId="Equation.3" shapeId="22532" r:id="rId10"/>
      </mc:Fallback>
    </mc:AlternateContent>
  </oleObjec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1:K26"/>
  <sheetViews>
    <sheetView showGridLines="0" zoomScale="152" workbookViewId="0">
      <selection activeCell="J11" sqref="J11"/>
    </sheetView>
  </sheetViews>
  <sheetFormatPr defaultRowHeight="12.75" x14ac:dyDescent="0.2"/>
  <cols>
    <col min="1" max="1" width="1.42578125" customWidth="1"/>
    <col min="2" max="2" width="7.42578125" customWidth="1"/>
    <col min="3" max="3" width="20.7109375" customWidth="1"/>
    <col min="4" max="4" width="3.7109375" customWidth="1"/>
    <col min="5" max="5" width="3.5703125" customWidth="1"/>
    <col min="6" max="6" width="2.7109375" customWidth="1"/>
    <col min="7" max="7" width="8" customWidth="1"/>
    <col min="9" max="9" width="17.140625" customWidth="1"/>
    <col min="10" max="10" width="7" customWidth="1"/>
  </cols>
  <sheetData>
    <row r="1" spans="2:11" ht="15" x14ac:dyDescent="0.2">
      <c r="C1" s="213" t="s">
        <v>309</v>
      </c>
    </row>
    <row r="5" spans="2:11" x14ac:dyDescent="0.2">
      <c r="B5" t="s">
        <v>308</v>
      </c>
    </row>
    <row r="7" spans="2:11" x14ac:dyDescent="0.2">
      <c r="E7" s="211">
        <v>0.8</v>
      </c>
    </row>
    <row r="8" spans="2:11" ht="12.75" customHeight="1" x14ac:dyDescent="0.2">
      <c r="B8" s="465" t="s">
        <v>278</v>
      </c>
      <c r="C8" s="467" t="s">
        <v>279</v>
      </c>
      <c r="D8" s="212" t="s">
        <v>280</v>
      </c>
      <c r="E8" s="211">
        <v>0.2</v>
      </c>
      <c r="F8" s="467" t="s">
        <v>282</v>
      </c>
      <c r="G8" s="467">
        <f>IF(J17&gt;0,(1630+21*J17-0.041*J17*J17)*POWER(E11,0.8)/POWER(E14,0.2)," ")</f>
        <v>989.18563530203858</v>
      </c>
      <c r="H8" s="214" t="s">
        <v>301</v>
      </c>
      <c r="I8" s="467" t="s">
        <v>51</v>
      </c>
      <c r="J8" s="467">
        <f>IF(J17&gt;0,G8/1.16," ")</f>
        <v>852.74623732934367</v>
      </c>
      <c r="K8" s="214" t="s">
        <v>306</v>
      </c>
    </row>
    <row r="9" spans="2:11" x14ac:dyDescent="0.2">
      <c r="B9" s="466"/>
      <c r="C9" s="468"/>
      <c r="D9" t="s">
        <v>281</v>
      </c>
      <c r="F9" s="468"/>
      <c r="G9" s="468"/>
      <c r="H9" t="s">
        <v>302</v>
      </c>
      <c r="I9" s="468"/>
      <c r="J9" s="468"/>
      <c r="K9" t="s">
        <v>307</v>
      </c>
    </row>
    <row r="11" spans="2:11" x14ac:dyDescent="0.2">
      <c r="B11" t="s">
        <v>292</v>
      </c>
      <c r="C11" t="s">
        <v>293</v>
      </c>
      <c r="E11" s="469">
        <f>IF(J11&gt;0,J18/3600/(3.1416*POWER(J11/1000,2)/4),IF(J13&gt;0,J18/3600/E18," "))</f>
        <v>1.2378688849277084</v>
      </c>
      <c r="F11" s="469"/>
      <c r="G11" t="s">
        <v>24</v>
      </c>
      <c r="H11" t="s">
        <v>286</v>
      </c>
      <c r="J11" s="215">
        <v>1000</v>
      </c>
      <c r="K11" t="s">
        <v>287</v>
      </c>
    </row>
    <row r="12" spans="2:11" x14ac:dyDescent="0.2">
      <c r="C12" t="s">
        <v>294</v>
      </c>
    </row>
    <row r="13" spans="2:11" x14ac:dyDescent="0.2">
      <c r="H13" t="s">
        <v>288</v>
      </c>
      <c r="J13" s="215"/>
      <c r="K13" t="s">
        <v>287</v>
      </c>
    </row>
    <row r="14" spans="2:11" x14ac:dyDescent="0.2">
      <c r="C14" t="s">
        <v>295</v>
      </c>
      <c r="E14" s="469">
        <f>IF(J11&gt;0,J11,IF(J13&gt;0,(J14*J14-J15*J13*J13)/(J14+J13*J15)," "))</f>
        <v>1000</v>
      </c>
      <c r="F14" s="469"/>
      <c r="G14" t="s">
        <v>287</v>
      </c>
      <c r="H14" t="s">
        <v>289</v>
      </c>
      <c r="J14" s="215"/>
      <c r="K14" t="s">
        <v>287</v>
      </c>
    </row>
    <row r="15" spans="2:11" x14ac:dyDescent="0.2">
      <c r="C15" t="s">
        <v>296</v>
      </c>
      <c r="H15" t="s">
        <v>290</v>
      </c>
      <c r="J15" s="215"/>
      <c r="K15" t="s">
        <v>291</v>
      </c>
    </row>
    <row r="16" spans="2:11" x14ac:dyDescent="0.2">
      <c r="C16" t="s">
        <v>297</v>
      </c>
    </row>
    <row r="17" spans="2:11" x14ac:dyDescent="0.2">
      <c r="H17" t="s">
        <v>285</v>
      </c>
      <c r="J17" s="215">
        <v>100</v>
      </c>
      <c r="K17" t="s">
        <v>4</v>
      </c>
    </row>
    <row r="18" spans="2:11" x14ac:dyDescent="0.2">
      <c r="C18" t="s">
        <v>299</v>
      </c>
      <c r="E18" s="469" t="str">
        <f>IF(J13&gt;0,0.785*J14/1000*J14/1000-0.785*J15*J13/1000*J13/1000," ")</f>
        <v xml:space="preserve"> </v>
      </c>
      <c r="F18" s="469"/>
      <c r="G18" t="s">
        <v>298</v>
      </c>
      <c r="H18" t="s">
        <v>283</v>
      </c>
      <c r="J18" s="215">
        <v>3500</v>
      </c>
      <c r="K18" t="s">
        <v>284</v>
      </c>
    </row>
    <row r="19" spans="2:11" x14ac:dyDescent="0.2">
      <c r="C19" t="s">
        <v>300</v>
      </c>
    </row>
    <row r="22" spans="2:11" x14ac:dyDescent="0.2">
      <c r="B22" t="s">
        <v>303</v>
      </c>
    </row>
    <row r="25" spans="2:11" x14ac:dyDescent="0.2">
      <c r="C25" t="s">
        <v>305</v>
      </c>
    </row>
    <row r="26" spans="2:11" x14ac:dyDescent="0.2">
      <c r="C26" t="s">
        <v>304</v>
      </c>
    </row>
  </sheetData>
  <sheetProtection sheet="1" objects="1" scenarios="1"/>
  <mergeCells count="9">
    <mergeCell ref="B8:B9"/>
    <mergeCell ref="C8:C9"/>
    <mergeCell ref="E18:F18"/>
    <mergeCell ref="J8:J9"/>
    <mergeCell ref="F8:F9"/>
    <mergeCell ref="G8:G9"/>
    <mergeCell ref="E11:F11"/>
    <mergeCell ref="I8:I9"/>
    <mergeCell ref="E14:F14"/>
  </mergeCells>
  <phoneticPr fontId="0" type="noConversion"/>
  <pageMargins left="0.78740157480314965" right="0.39370078740157483" top="0.98425196850393704" bottom="0.98425196850393704" header="0.51181102362204722" footer="0.51181102362204722"/>
  <pageSetup paperSize="9" orientation="portrait" horizontalDpi="300" verticalDpi="300" r:id="rId1"/>
  <headerFooter alignWithMargins="0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A1:I36"/>
  <sheetViews>
    <sheetView showGridLines="0" zoomScale="162" workbookViewId="0">
      <selection activeCell="E9" sqref="E9"/>
    </sheetView>
  </sheetViews>
  <sheetFormatPr defaultRowHeight="12.75" x14ac:dyDescent="0.2"/>
  <cols>
    <col min="1" max="1" width="3.7109375" customWidth="1"/>
    <col min="2" max="2" width="4.42578125" customWidth="1"/>
    <col min="4" max="4" width="13.5703125" customWidth="1"/>
    <col min="5" max="5" width="13.28515625" customWidth="1"/>
    <col min="6" max="6" width="12.85546875" customWidth="1"/>
  </cols>
  <sheetData>
    <row r="1" spans="1:9" x14ac:dyDescent="0.2">
      <c r="A1" t="s">
        <v>310</v>
      </c>
    </row>
    <row r="4" spans="1:9" ht="38.25" x14ac:dyDescent="0.2">
      <c r="B4" s="470" t="s">
        <v>265</v>
      </c>
      <c r="C4" s="210" t="s">
        <v>311</v>
      </c>
      <c r="D4" s="210" t="s">
        <v>312</v>
      </c>
      <c r="E4" s="470" t="s">
        <v>313</v>
      </c>
      <c r="F4" s="216" t="s">
        <v>317</v>
      </c>
      <c r="H4" s="210" t="s">
        <v>315</v>
      </c>
    </row>
    <row r="5" spans="1:9" x14ac:dyDescent="0.2">
      <c r="B5" s="471"/>
      <c r="C5" s="210" t="s">
        <v>287</v>
      </c>
      <c r="D5" s="210" t="s">
        <v>163</v>
      </c>
      <c r="E5" s="471"/>
      <c r="F5" s="217" t="s">
        <v>287</v>
      </c>
      <c r="H5" s="210" t="s">
        <v>316</v>
      </c>
    </row>
    <row r="6" spans="1:9" x14ac:dyDescent="0.2">
      <c r="B6" s="240">
        <v>1</v>
      </c>
      <c r="C6" s="240">
        <v>100</v>
      </c>
      <c r="D6" s="240">
        <v>0.11</v>
      </c>
      <c r="E6" s="240" t="s">
        <v>690</v>
      </c>
      <c r="F6" s="217">
        <f>IF(C6&gt;0,$E$14," ")</f>
        <v>1020</v>
      </c>
      <c r="H6" s="218">
        <f>IF(B6&gt;0,1/2/3.1416/D6*LN(1+2*C6/F6)," ")</f>
        <v>0.2590576768192604</v>
      </c>
    </row>
    <row r="7" spans="1:9" x14ac:dyDescent="0.2">
      <c r="B7" s="240"/>
      <c r="C7" s="240"/>
      <c r="D7" s="240"/>
      <c r="E7" s="240"/>
      <c r="F7" s="217" t="str">
        <f t="shared" ref="F7:F12" si="0">IF(C7&gt;0,$E$14+2*C6," ")</f>
        <v xml:space="preserve"> </v>
      </c>
      <c r="H7" s="218" t="str">
        <f t="shared" ref="H7:H12" si="1">IF(B7&gt;0,1/2/3.1416/D7*LN(1+2*C7/F7)," ")</f>
        <v xml:space="preserve"> </v>
      </c>
    </row>
    <row r="8" spans="1:9" x14ac:dyDescent="0.2">
      <c r="B8" s="240"/>
      <c r="C8" s="240"/>
      <c r="D8" s="240"/>
      <c r="E8" s="240"/>
      <c r="F8" s="217" t="str">
        <f t="shared" si="0"/>
        <v xml:space="preserve"> </v>
      </c>
      <c r="H8" s="218" t="str">
        <f t="shared" si="1"/>
        <v xml:space="preserve"> </v>
      </c>
    </row>
    <row r="9" spans="1:9" x14ac:dyDescent="0.2">
      <c r="B9" s="240"/>
      <c r="C9" s="240"/>
      <c r="D9" s="240"/>
      <c r="E9" s="240"/>
      <c r="F9" s="217" t="str">
        <f t="shared" si="0"/>
        <v xml:space="preserve"> </v>
      </c>
      <c r="H9" s="218" t="str">
        <f t="shared" si="1"/>
        <v xml:space="preserve"> </v>
      </c>
    </row>
    <row r="10" spans="1:9" x14ac:dyDescent="0.2">
      <c r="B10" s="240"/>
      <c r="C10" s="240"/>
      <c r="D10" s="240"/>
      <c r="E10" s="240"/>
      <c r="F10" s="217" t="str">
        <f t="shared" si="0"/>
        <v xml:space="preserve"> </v>
      </c>
      <c r="H10" s="218" t="str">
        <f t="shared" si="1"/>
        <v xml:space="preserve"> </v>
      </c>
    </row>
    <row r="11" spans="1:9" x14ac:dyDescent="0.2">
      <c r="B11" s="240"/>
      <c r="C11" s="240"/>
      <c r="D11" s="240"/>
      <c r="E11" s="240"/>
      <c r="F11" s="217" t="str">
        <f t="shared" si="0"/>
        <v xml:space="preserve"> </v>
      </c>
      <c r="H11" s="218" t="str">
        <f t="shared" si="1"/>
        <v xml:space="preserve"> </v>
      </c>
    </row>
    <row r="12" spans="1:9" x14ac:dyDescent="0.2">
      <c r="B12" s="240"/>
      <c r="C12" s="240"/>
      <c r="D12" s="240"/>
      <c r="E12" s="240"/>
      <c r="F12" s="217" t="str">
        <f t="shared" si="0"/>
        <v xml:space="preserve"> </v>
      </c>
      <c r="H12" s="218" t="str">
        <f t="shared" si="1"/>
        <v xml:space="preserve"> </v>
      </c>
    </row>
    <row r="14" spans="1:9" ht="15.75" x14ac:dyDescent="0.25">
      <c r="B14" t="s">
        <v>314</v>
      </c>
      <c r="E14" s="241">
        <v>1020</v>
      </c>
      <c r="F14" t="s">
        <v>287</v>
      </c>
      <c r="G14" s="222" t="s">
        <v>325</v>
      </c>
      <c r="H14" s="219">
        <f>IF(B6&gt;0,SUM(H6:H13),"")</f>
        <v>0.2590576768192604</v>
      </c>
      <c r="I14" t="s">
        <v>316</v>
      </c>
    </row>
    <row r="18" spans="2:3" x14ac:dyDescent="0.2">
      <c r="B18" t="s">
        <v>303</v>
      </c>
    </row>
    <row r="21" spans="2:3" x14ac:dyDescent="0.2">
      <c r="C21" t="s">
        <v>318</v>
      </c>
    </row>
    <row r="22" spans="2:3" x14ac:dyDescent="0.2">
      <c r="C22" t="s">
        <v>304</v>
      </c>
    </row>
    <row r="24" spans="2:3" x14ac:dyDescent="0.2">
      <c r="C24" t="s">
        <v>319</v>
      </c>
    </row>
    <row r="26" spans="2:3" x14ac:dyDescent="0.2">
      <c r="C26" t="s">
        <v>320</v>
      </c>
    </row>
    <row r="28" spans="2:3" x14ac:dyDescent="0.2">
      <c r="C28" t="s">
        <v>321</v>
      </c>
    </row>
    <row r="29" spans="2:3" x14ac:dyDescent="0.2">
      <c r="C29" t="s">
        <v>322</v>
      </c>
    </row>
    <row r="30" spans="2:3" x14ac:dyDescent="0.2">
      <c r="C30" t="s">
        <v>323</v>
      </c>
    </row>
    <row r="31" spans="2:3" x14ac:dyDescent="0.2">
      <c r="C31" t="str">
        <f>"внешнему диаметру трубы ("&amp;E14&amp;"мм)"</f>
        <v>внешнему диаметру трубы (1020мм)</v>
      </c>
    </row>
    <row r="34" spans="3:7" x14ac:dyDescent="0.2">
      <c r="C34" t="str">
        <f>"Суммарное сопротивление изоляции составляет   "&amp;CEILING(H14,0.01)&amp;"    м*К/Вт"</f>
        <v>Суммарное сопротивление изоляции составляет   0,26    м*К/Вт</v>
      </c>
    </row>
    <row r="35" spans="3:7" x14ac:dyDescent="0.2">
      <c r="E35" s="221"/>
    </row>
    <row r="36" spans="3:7" x14ac:dyDescent="0.2">
      <c r="E36" s="221" t="s">
        <v>51</v>
      </c>
      <c r="F36" s="220">
        <f>H14*1.16</f>
        <v>0.30050690511034206</v>
      </c>
      <c r="G36" t="s">
        <v>324</v>
      </c>
    </row>
  </sheetData>
  <sheetProtection password="C651" sheet="1" objects="1" scenarios="1"/>
  <mergeCells count="2">
    <mergeCell ref="E4:E5"/>
    <mergeCell ref="B4:B5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1:I73"/>
  <sheetViews>
    <sheetView showGridLines="0" zoomScale="150" workbookViewId="0">
      <selection activeCell="G18" sqref="G18"/>
    </sheetView>
  </sheetViews>
  <sheetFormatPr defaultRowHeight="12.75" x14ac:dyDescent="0.2"/>
  <cols>
    <col min="1" max="1" width="2.42578125" customWidth="1"/>
    <col min="2" max="2" width="6.42578125" customWidth="1"/>
  </cols>
  <sheetData>
    <row r="1" spans="2:9" ht="15" x14ac:dyDescent="0.2">
      <c r="B1" s="213" t="s">
        <v>326</v>
      </c>
    </row>
    <row r="4" spans="2:9" x14ac:dyDescent="0.2">
      <c r="B4" t="s">
        <v>327</v>
      </c>
    </row>
    <row r="6" spans="2:9" ht="26.25" customHeight="1" x14ac:dyDescent="0.2">
      <c r="B6" s="224" t="s">
        <v>265</v>
      </c>
      <c r="C6" s="473" t="s">
        <v>328</v>
      </c>
      <c r="D6" s="474"/>
      <c r="E6" s="474"/>
      <c r="F6" s="474"/>
      <c r="G6" s="475"/>
      <c r="H6" s="224" t="s">
        <v>333</v>
      </c>
      <c r="I6" s="210" t="s">
        <v>332</v>
      </c>
    </row>
    <row r="7" spans="2:9" x14ac:dyDescent="0.2">
      <c r="B7" s="224">
        <v>1</v>
      </c>
      <c r="C7" s="476" t="s">
        <v>329</v>
      </c>
      <c r="D7" s="477"/>
      <c r="E7" s="477"/>
      <c r="F7" s="477"/>
      <c r="G7" s="478"/>
      <c r="H7" s="251">
        <f>'ТЕПЛОПЕРЕДАЧА 1'!J17</f>
        <v>100</v>
      </c>
      <c r="I7" s="210" t="s">
        <v>4</v>
      </c>
    </row>
    <row r="8" spans="2:9" x14ac:dyDescent="0.2">
      <c r="B8" s="224">
        <v>2</v>
      </c>
      <c r="C8" s="476" t="s">
        <v>330</v>
      </c>
      <c r="D8" s="477"/>
      <c r="E8" s="477"/>
      <c r="F8" s="477"/>
      <c r="G8" s="478"/>
      <c r="H8" s="242">
        <v>-46</v>
      </c>
      <c r="I8" s="210" t="s">
        <v>4</v>
      </c>
    </row>
    <row r="9" spans="2:9" x14ac:dyDescent="0.2">
      <c r="B9" s="224">
        <v>3</v>
      </c>
      <c r="C9" s="476" t="s">
        <v>331</v>
      </c>
      <c r="D9" s="477"/>
      <c r="E9" s="477"/>
      <c r="F9" s="477"/>
      <c r="G9" s="478"/>
      <c r="H9" s="235">
        <f>'ТЕПЛОПЕРЕДАЧА 2 '!E14+('ТЕПЛОПЕРЕДАЧА 2 '!C6+'ТЕПЛОПЕРЕДАЧА 2 '!C7+'ТЕПЛОПЕРЕДАЧА 2 '!C8+'ТЕПЛОПЕРЕДАЧА 2 '!C9+'ТЕПЛОПЕРЕДАЧА 2 '!C10+'ТЕПЛОПЕРЕДАЧА 2 '!C11+'ТЕПЛОПЕРЕДАЧА 2 '!C12)*2</f>
        <v>1220</v>
      </c>
      <c r="I9" s="210" t="s">
        <v>287</v>
      </c>
    </row>
    <row r="10" spans="2:9" x14ac:dyDescent="0.2">
      <c r="B10" s="224">
        <v>4</v>
      </c>
      <c r="C10" s="476" t="s">
        <v>354</v>
      </c>
      <c r="D10" s="477"/>
      <c r="E10" s="477"/>
      <c r="F10" s="477"/>
      <c r="G10" s="478"/>
      <c r="H10" s="242">
        <v>7.1</v>
      </c>
      <c r="I10" s="210" t="s">
        <v>24</v>
      </c>
    </row>
    <row r="12" spans="2:9" x14ac:dyDescent="0.2">
      <c r="B12" t="s">
        <v>334</v>
      </c>
    </row>
    <row r="13" spans="2:9" x14ac:dyDescent="0.2">
      <c r="B13" t="s">
        <v>335</v>
      </c>
    </row>
    <row r="14" spans="2:9" x14ac:dyDescent="0.2">
      <c r="B14" t="s">
        <v>336</v>
      </c>
    </row>
    <row r="15" spans="2:9" x14ac:dyDescent="0.2">
      <c r="B15" t="s">
        <v>337</v>
      </c>
    </row>
    <row r="17" spans="2:9" x14ac:dyDescent="0.2">
      <c r="B17" s="225">
        <v>1</v>
      </c>
      <c r="C17" s="472" t="s">
        <v>338</v>
      </c>
      <c r="D17" s="472" t="s">
        <v>339</v>
      </c>
      <c r="E17" s="480">
        <f>1/'ТЕПЛОПЕРЕДАЧА 1'!G8/'ТЕПЛОПЕРЕДАЧА 1'!E14/1000/3.14+'ТЕПЛОПЕРЕДАЧА 2 '!H14</f>
        <v>0.25905767714121347</v>
      </c>
    </row>
    <row r="18" spans="2:9" ht="15.75" x14ac:dyDescent="0.25">
      <c r="B18" s="222" t="s">
        <v>391</v>
      </c>
      <c r="C18" s="472"/>
      <c r="D18" s="472"/>
      <c r="E18" s="480"/>
    </row>
    <row r="20" spans="2:9" x14ac:dyDescent="0.2">
      <c r="B20" t="s">
        <v>340</v>
      </c>
    </row>
    <row r="21" spans="2:9" x14ac:dyDescent="0.2">
      <c r="B21" t="s">
        <v>378</v>
      </c>
      <c r="H21" s="243">
        <v>6.5</v>
      </c>
      <c r="I21" t="s">
        <v>379</v>
      </c>
    </row>
    <row r="22" spans="2:9" x14ac:dyDescent="0.2">
      <c r="B22" t="s">
        <v>374</v>
      </c>
    </row>
    <row r="23" spans="2:9" x14ac:dyDescent="0.2">
      <c r="B23" s="225">
        <v>1</v>
      </c>
      <c r="C23" s="472" t="s">
        <v>341</v>
      </c>
      <c r="D23" s="225">
        <v>1</v>
      </c>
      <c r="E23" s="472" t="s">
        <v>339</v>
      </c>
      <c r="F23" s="480">
        <f>IF(H9&gt;0,E17+1/(H21*H9/1000)/3.14,"")</f>
        <v>0.29921799713864322</v>
      </c>
    </row>
    <row r="24" spans="2:9" ht="15.75" x14ac:dyDescent="0.25">
      <c r="B24" s="222" t="s">
        <v>391</v>
      </c>
      <c r="C24" s="472"/>
      <c r="D24" s="226" t="s">
        <v>394</v>
      </c>
      <c r="E24" s="472"/>
      <c r="F24" s="480"/>
    </row>
    <row r="25" spans="2:9" x14ac:dyDescent="0.2">
      <c r="B25" t="str">
        <f>"(Примечание: В резульате расчета коээфициет теплопередачи получился "&amp;CEILING(F70,0.1)&amp;" Вт/м2*К)"</f>
        <v>(Примечание: В резульате расчета коээфициет теплопередачи получился 7,3 Вт/м2*К)</v>
      </c>
    </row>
    <row r="27" spans="2:9" x14ac:dyDescent="0.2">
      <c r="B27" t="s">
        <v>342</v>
      </c>
    </row>
    <row r="28" spans="2:9" x14ac:dyDescent="0.2">
      <c r="B28" s="212" t="s">
        <v>392</v>
      </c>
      <c r="C28" s="212"/>
      <c r="D28" s="472" t="s">
        <v>339</v>
      </c>
      <c r="E28" s="212" t="s">
        <v>393</v>
      </c>
      <c r="F28" s="212"/>
      <c r="G28" s="212"/>
    </row>
    <row r="29" spans="2:9" x14ac:dyDescent="0.2">
      <c r="B29" s="225">
        <v>1</v>
      </c>
      <c r="C29" s="472" t="s">
        <v>338</v>
      </c>
      <c r="D29" s="472"/>
      <c r="E29" s="225">
        <v>1</v>
      </c>
      <c r="F29" s="472" t="s">
        <v>341</v>
      </c>
      <c r="G29" s="225">
        <v>1</v>
      </c>
    </row>
    <row r="30" spans="2:9" ht="15.75" x14ac:dyDescent="0.25">
      <c r="B30" s="222" t="s">
        <v>391</v>
      </c>
      <c r="C30" s="472"/>
      <c r="E30" s="222" t="s">
        <v>391</v>
      </c>
      <c r="F30" s="472"/>
      <c r="G30" s="226" t="s">
        <v>394</v>
      </c>
    </row>
    <row r="32" spans="2:9" x14ac:dyDescent="0.2">
      <c r="B32" t="s">
        <v>343</v>
      </c>
    </row>
    <row r="34" spans="2:9" x14ac:dyDescent="0.2">
      <c r="B34" t="str">
        <f>"("&amp;H7&amp;"-Тиз) /"&amp;CEILING(E17,0.01)&amp;" = ("&amp;H7&amp;"-"&amp;H8&amp;")/"&amp;CEILING(F23,0.01)</f>
        <v>(100-Тиз) /0,26 = (100--46)/0,3</v>
      </c>
      <c r="G34" s="221" t="s">
        <v>344</v>
      </c>
      <c r="H34" s="229">
        <f>-(H7-H8)/F23*E17+H7</f>
        <v>-26.404231110109592</v>
      </c>
      <c r="I34" t="s">
        <v>4</v>
      </c>
    </row>
    <row r="36" spans="2:9" x14ac:dyDescent="0.2">
      <c r="B36" t="s">
        <v>345</v>
      </c>
    </row>
    <row r="37" spans="2:9" x14ac:dyDescent="0.2">
      <c r="B37" t="s">
        <v>346</v>
      </c>
    </row>
    <row r="38" spans="2:9" x14ac:dyDescent="0.2">
      <c r="B38" t="s">
        <v>347</v>
      </c>
    </row>
    <row r="39" spans="2:9" x14ac:dyDescent="0.2">
      <c r="G39" s="231">
        <v>0.33</v>
      </c>
    </row>
    <row r="40" spans="2:9" ht="16.5" customHeight="1" x14ac:dyDescent="0.3">
      <c r="B40" t="s">
        <v>348</v>
      </c>
      <c r="E40" s="230" t="s">
        <v>349</v>
      </c>
      <c r="F40" t="s">
        <v>350</v>
      </c>
    </row>
    <row r="41" spans="2:9" x14ac:dyDescent="0.2">
      <c r="G41" s="233">
        <v>0.6</v>
      </c>
      <c r="H41" s="211"/>
    </row>
    <row r="42" spans="2:9" x14ac:dyDescent="0.2">
      <c r="B42" t="s">
        <v>351</v>
      </c>
      <c r="F42" s="479" t="s">
        <v>353</v>
      </c>
      <c r="G42" s="232" t="s">
        <v>355</v>
      </c>
      <c r="H42" s="211">
        <v>0.4</v>
      </c>
    </row>
    <row r="43" spans="2:9" x14ac:dyDescent="0.2">
      <c r="F43" s="472"/>
      <c r="G43" s="221" t="s">
        <v>352</v>
      </c>
    </row>
    <row r="45" spans="2:9" x14ac:dyDescent="0.2">
      <c r="B45" t="s">
        <v>356</v>
      </c>
    </row>
    <row r="46" spans="2:9" x14ac:dyDescent="0.2">
      <c r="C46" s="211">
        <v>3</v>
      </c>
      <c r="G46" s="231">
        <v>3</v>
      </c>
      <c r="H46" s="211"/>
    </row>
    <row r="47" spans="2:9" x14ac:dyDescent="0.2">
      <c r="B47" s="221" t="s">
        <v>352</v>
      </c>
      <c r="C47" t="s">
        <v>357</v>
      </c>
      <c r="D47" t="s">
        <v>358</v>
      </c>
      <c r="E47" t="s">
        <v>359</v>
      </c>
      <c r="G47" s="221" t="s">
        <v>360</v>
      </c>
      <c r="H47" t="s">
        <v>361</v>
      </c>
      <c r="I47" s="234">
        <f>POWER(H9/1000,3)*(H34-H8)</f>
        <v>35.582937747169716</v>
      </c>
    </row>
    <row r="50" spans="2:8" ht="18.75" x14ac:dyDescent="0.3">
      <c r="C50" s="230" t="s">
        <v>349</v>
      </c>
      <c r="D50" s="227">
        <f>IF(I47&gt;=0.1,1.66*POWER(H34-H8,0.333),3.9*POWER(H10,0.6)/POWER(H9/1000,0.4))</f>
        <v>4.470932744218044</v>
      </c>
      <c r="E50" t="s">
        <v>362</v>
      </c>
      <c r="F50" s="221" t="s">
        <v>51</v>
      </c>
      <c r="G50" s="227">
        <f>D50/1.16</f>
        <v>3.8542523657052108</v>
      </c>
      <c r="H50" t="s">
        <v>363</v>
      </c>
    </row>
    <row r="55" spans="2:8" x14ac:dyDescent="0.2">
      <c r="B55" t="s">
        <v>364</v>
      </c>
    </row>
    <row r="56" spans="2:8" x14ac:dyDescent="0.2">
      <c r="B56" t="s">
        <v>365</v>
      </c>
    </row>
    <row r="57" spans="2:8" x14ac:dyDescent="0.2">
      <c r="E57" s="237">
        <v>8</v>
      </c>
      <c r="F57" s="237">
        <v>4</v>
      </c>
      <c r="G57" s="237">
        <v>4</v>
      </c>
    </row>
    <row r="58" spans="2:8" ht="18" customHeight="1" x14ac:dyDescent="0.3">
      <c r="C58" s="230" t="s">
        <v>366</v>
      </c>
      <c r="D58" s="213" t="s">
        <v>367</v>
      </c>
    </row>
    <row r="60" spans="2:8" x14ac:dyDescent="0.2">
      <c r="C60" t="s">
        <v>368</v>
      </c>
      <c r="F60" s="236" t="s">
        <v>371</v>
      </c>
    </row>
    <row r="61" spans="2:8" ht="13.5" customHeight="1" x14ac:dyDescent="0.2">
      <c r="D61" s="238" t="s">
        <v>369</v>
      </c>
      <c r="E61">
        <v>5.2</v>
      </c>
      <c r="F61" t="s">
        <v>370</v>
      </c>
    </row>
    <row r="62" spans="2:8" x14ac:dyDescent="0.2">
      <c r="G62" s="236">
        <v>2</v>
      </c>
    </row>
    <row r="63" spans="2:8" ht="18.75" x14ac:dyDescent="0.3">
      <c r="C63" t="s">
        <v>372</v>
      </c>
      <c r="E63" s="230" t="s">
        <v>366</v>
      </c>
      <c r="F63" s="228">
        <f>5.2/(H34-H8)*(POWER((H34+273),4)-POWER(H8+273,4))/100000000</f>
        <v>2.7665573315827303</v>
      </c>
      <c r="G63" t="s">
        <v>370</v>
      </c>
    </row>
    <row r="64" spans="2:8" x14ac:dyDescent="0.2">
      <c r="H64" s="239">
        <v>2</v>
      </c>
    </row>
    <row r="65" spans="2:8" x14ac:dyDescent="0.2">
      <c r="E65" t="s">
        <v>51</v>
      </c>
      <c r="F65" s="227">
        <f>$F$63/1.16</f>
        <v>2.3849632168816641</v>
      </c>
      <c r="G65" t="s">
        <v>377</v>
      </c>
    </row>
    <row r="67" spans="2:8" x14ac:dyDescent="0.2">
      <c r="B67" t="s">
        <v>373</v>
      </c>
    </row>
    <row r="68" spans="2:8" x14ac:dyDescent="0.2">
      <c r="B68" t="s">
        <v>374</v>
      </c>
    </row>
    <row r="69" spans="2:8" x14ac:dyDescent="0.2">
      <c r="G69" s="236">
        <v>2</v>
      </c>
    </row>
    <row r="70" spans="2:8" ht="18.75" x14ac:dyDescent="0.3">
      <c r="C70" s="230" t="s">
        <v>375</v>
      </c>
      <c r="D70" s="230" t="s">
        <v>376</v>
      </c>
      <c r="E70" s="230" t="s">
        <v>366</v>
      </c>
      <c r="F70" s="227">
        <f>D50+F63</f>
        <v>7.2374900758007747</v>
      </c>
      <c r="G70" t="s">
        <v>370</v>
      </c>
    </row>
    <row r="72" spans="2:8" x14ac:dyDescent="0.2">
      <c r="H72" s="239">
        <v>2</v>
      </c>
    </row>
    <row r="73" spans="2:8" x14ac:dyDescent="0.2">
      <c r="E73" t="s">
        <v>51</v>
      </c>
      <c r="F73" s="227">
        <f>$F$70/1.16</f>
        <v>6.2392155825868754</v>
      </c>
      <c r="G73" t="s">
        <v>377</v>
      </c>
    </row>
  </sheetData>
  <sheetProtection password="C651" sheet="1" objects="1" scenarios="1"/>
  <mergeCells count="15">
    <mergeCell ref="F42:F43"/>
    <mergeCell ref="C10:G10"/>
    <mergeCell ref="F23:F24"/>
    <mergeCell ref="C29:C30"/>
    <mergeCell ref="D28:D29"/>
    <mergeCell ref="F29:F30"/>
    <mergeCell ref="C17:C18"/>
    <mergeCell ref="D17:D18"/>
    <mergeCell ref="E17:E18"/>
    <mergeCell ref="C23:C24"/>
    <mergeCell ref="E23:E24"/>
    <mergeCell ref="C6:G6"/>
    <mergeCell ref="C7:G7"/>
    <mergeCell ref="C8:G8"/>
    <mergeCell ref="C9:G9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FF0000"/>
  </sheetPr>
  <dimension ref="B2:K14"/>
  <sheetViews>
    <sheetView showGridLines="0" zoomScale="178" workbookViewId="0">
      <selection activeCell="G7" sqref="G7"/>
    </sheetView>
  </sheetViews>
  <sheetFormatPr defaultRowHeight="12.75" x14ac:dyDescent="0.2"/>
  <cols>
    <col min="1" max="1" width="4" customWidth="1"/>
    <col min="2" max="2" width="7.28515625" customWidth="1"/>
    <col min="3" max="3" width="10.7109375" customWidth="1"/>
    <col min="4" max="4" width="2.85546875" customWidth="1"/>
    <col min="5" max="5" width="8.140625" customWidth="1"/>
    <col min="6" max="6" width="2.85546875" customWidth="1"/>
    <col min="7" max="7" width="11.85546875" customWidth="1"/>
    <col min="8" max="8" width="6.28515625" customWidth="1"/>
    <col min="9" max="9" width="7.42578125" customWidth="1"/>
    <col min="10" max="10" width="5.85546875" customWidth="1"/>
  </cols>
  <sheetData>
    <row r="2" spans="2:11" x14ac:dyDescent="0.2">
      <c r="B2" t="s">
        <v>380</v>
      </c>
    </row>
    <row r="3" spans="2:11" x14ac:dyDescent="0.2">
      <c r="B3" t="s">
        <v>381</v>
      </c>
    </row>
    <row r="6" spans="2:11" x14ac:dyDescent="0.2">
      <c r="B6" s="481" t="s">
        <v>382</v>
      </c>
      <c r="C6" s="212"/>
      <c r="D6" s="212" t="s">
        <v>386</v>
      </c>
      <c r="E6" s="212"/>
      <c r="F6" s="212"/>
      <c r="G6" s="212"/>
      <c r="H6" s="481" t="s">
        <v>282</v>
      </c>
    </row>
    <row r="7" spans="2:11" x14ac:dyDescent="0.2">
      <c r="B7" s="469"/>
      <c r="C7" s="232">
        <v>1</v>
      </c>
      <c r="D7" s="481" t="s">
        <v>383</v>
      </c>
      <c r="E7" s="484" t="s">
        <v>387</v>
      </c>
      <c r="F7" s="481" t="s">
        <v>383</v>
      </c>
      <c r="G7" s="232">
        <v>1</v>
      </c>
      <c r="H7" s="469"/>
    </row>
    <row r="8" spans="2:11" x14ac:dyDescent="0.2">
      <c r="C8" s="244" t="s">
        <v>384</v>
      </c>
      <c r="D8" s="469"/>
      <c r="E8" s="484"/>
      <c r="F8" s="469"/>
      <c r="G8" s="244" t="s">
        <v>385</v>
      </c>
    </row>
    <row r="9" spans="2:11" ht="18" x14ac:dyDescent="0.2">
      <c r="C9" s="223"/>
    </row>
    <row r="10" spans="2:11" x14ac:dyDescent="0.2">
      <c r="B10" s="481" t="s">
        <v>282</v>
      </c>
      <c r="C10" s="212">
        <f>'ТЕПЛОПЕРЕДАЧА 1'!J17</f>
        <v>100</v>
      </c>
      <c r="D10" s="232" t="s">
        <v>388</v>
      </c>
      <c r="E10" s="249">
        <f>'ТЕПЛОПЕРЕДАЧА 3'!H8</f>
        <v>-46</v>
      </c>
      <c r="F10" s="212"/>
      <c r="G10" s="212"/>
      <c r="H10" s="481" t="s">
        <v>282</v>
      </c>
      <c r="I10" s="482">
        <f>(C10-E10)/(C11+E11+G11)</f>
        <v>494.1655177759248</v>
      </c>
      <c r="J10" s="232" t="s">
        <v>301</v>
      </c>
    </row>
    <row r="11" spans="2:11" x14ac:dyDescent="0.2">
      <c r="B11" s="469"/>
      <c r="C11" s="247">
        <f>1/(3.141*'ТЕПЛОПЕРЕДАЧА 1'!G8*'ТЕПЛОПЕРЕДАЧА 1'!E14/1000)</f>
        <v>3.2185055515883822E-4</v>
      </c>
      <c r="D11" s="245" t="s">
        <v>383</v>
      </c>
      <c r="E11" s="248">
        <f>'ТЕПЛОПЕРЕДАЧА 2 '!H14</f>
        <v>0.2590576768192604</v>
      </c>
      <c r="F11" s="245" t="s">
        <v>383</v>
      </c>
      <c r="G11" s="248">
        <f>1/(3.14*'ТЕПЛОПЕРЕДАЧА 3'!F70*'ТЕПЛОПЕРЕДАЧА 3'!H9/1000)</f>
        <v>3.6068039783033613E-2</v>
      </c>
      <c r="H11" s="469"/>
      <c r="I11" s="483"/>
      <c r="J11" s="245" t="s">
        <v>389</v>
      </c>
    </row>
    <row r="13" spans="2:11" x14ac:dyDescent="0.2">
      <c r="E13" s="246"/>
      <c r="G13" t="s">
        <v>51</v>
      </c>
      <c r="H13" s="245" t="s">
        <v>282</v>
      </c>
      <c r="I13" s="250">
        <f>$I$10/1.16</f>
        <v>426.00475670338346</v>
      </c>
      <c r="J13" t="s">
        <v>390</v>
      </c>
    </row>
    <row r="14" spans="2:11" x14ac:dyDescent="0.2">
      <c r="K14" s="239"/>
    </row>
  </sheetData>
  <sheetProtection password="C651" sheet="1" objects="1" scenarios="1"/>
  <mergeCells count="8">
    <mergeCell ref="B10:B11"/>
    <mergeCell ref="H10:H11"/>
    <mergeCell ref="I10:I11"/>
    <mergeCell ref="B6:B7"/>
    <mergeCell ref="F7:F8"/>
    <mergeCell ref="E7:E8"/>
    <mergeCell ref="H6:H7"/>
    <mergeCell ref="D7:D8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24"/>
  <sheetViews>
    <sheetView showGridLines="0" zoomScale="220" zoomScaleNormal="220" workbookViewId="0">
      <selection activeCell="G12" sqref="G12"/>
    </sheetView>
  </sheetViews>
  <sheetFormatPr defaultRowHeight="12.75" x14ac:dyDescent="0.2"/>
  <cols>
    <col min="1" max="1" width="2.42578125" customWidth="1"/>
    <col min="3" max="3" width="13.85546875" customWidth="1"/>
    <col min="4" max="4" width="3.7109375" customWidth="1"/>
    <col min="5" max="5" width="23.42578125" customWidth="1"/>
    <col min="6" max="6" width="11.7109375" customWidth="1"/>
    <col min="7" max="7" width="12.5703125" customWidth="1"/>
    <col min="8" max="8" width="3.140625" customWidth="1"/>
    <col min="9" max="9" width="4.85546875" customWidth="1"/>
    <col min="10" max="10" width="12" customWidth="1"/>
  </cols>
  <sheetData>
    <row r="1" spans="1:12" ht="13.5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ht="16.5" thickTop="1" x14ac:dyDescent="0.25">
      <c r="A2" s="6"/>
      <c r="B2" s="17" t="s">
        <v>18</v>
      </c>
      <c r="C2" s="16" t="s">
        <v>20</v>
      </c>
      <c r="D2" s="9"/>
      <c r="E2" s="18" t="s">
        <v>25</v>
      </c>
      <c r="F2" s="36">
        <v>20</v>
      </c>
      <c r="G2" s="19" t="s">
        <v>24</v>
      </c>
      <c r="H2" s="6"/>
      <c r="I2" s="14" t="s">
        <v>19</v>
      </c>
      <c r="J2" s="39">
        <f>IF(ISNUMBER(F4),F2*F3/F4," ")</f>
        <v>29197.080291970808</v>
      </c>
      <c r="K2" s="6"/>
      <c r="L2" s="6"/>
    </row>
    <row r="3" spans="1:12" ht="16.5" customHeight="1" x14ac:dyDescent="0.2">
      <c r="A3" s="6"/>
      <c r="B3" s="6"/>
      <c r="C3" s="6"/>
      <c r="D3" s="6"/>
      <c r="E3" s="20" t="s">
        <v>26</v>
      </c>
      <c r="F3" s="37">
        <v>0.02</v>
      </c>
      <c r="G3" s="21" t="s">
        <v>23</v>
      </c>
      <c r="H3" s="6"/>
      <c r="I3" s="6"/>
      <c r="J3" s="6"/>
      <c r="K3" s="6"/>
      <c r="L3" s="6"/>
    </row>
    <row r="4" spans="1:12" ht="15.75" customHeight="1" thickBot="1" x14ac:dyDescent="0.25">
      <c r="A4" s="6"/>
      <c r="B4" s="6"/>
      <c r="C4" s="6"/>
      <c r="D4" s="6"/>
      <c r="E4" s="22" t="s">
        <v>21</v>
      </c>
      <c r="F4" s="38">
        <v>1.3699999999999999E-5</v>
      </c>
      <c r="G4" s="23" t="s">
        <v>22</v>
      </c>
      <c r="H4" s="6"/>
      <c r="I4" s="6"/>
      <c r="J4" s="6"/>
      <c r="K4" s="6"/>
      <c r="L4" s="6"/>
    </row>
    <row r="5" spans="1:12" ht="14.25" thickTop="1" thickBot="1" x14ac:dyDescent="0.25">
      <c r="A5" s="6"/>
      <c r="B5" s="6"/>
      <c r="C5" s="6"/>
      <c r="D5" s="6"/>
      <c r="H5" s="6"/>
      <c r="I5" s="6"/>
      <c r="J5" s="6"/>
      <c r="K5" s="6"/>
      <c r="L5" s="6"/>
    </row>
    <row r="6" spans="1:12" ht="16.5" thickTop="1" x14ac:dyDescent="0.25">
      <c r="A6" s="6"/>
      <c r="B6" s="15" t="s">
        <v>27</v>
      </c>
      <c r="C6" s="16" t="s">
        <v>28</v>
      </c>
      <c r="D6" s="9"/>
      <c r="E6" s="24" t="s">
        <v>21</v>
      </c>
      <c r="F6" s="36">
        <f>'Свойства воды'!J4</f>
        <v>1.79E-6</v>
      </c>
      <c r="G6" s="27" t="s">
        <v>22</v>
      </c>
      <c r="H6" s="6"/>
      <c r="I6" s="14" t="s">
        <v>31</v>
      </c>
      <c r="J6" s="40">
        <f>IF(ISNUMBER(F9),F6*F7*F8/F9*3600," ")</f>
        <v>13.489426574999998</v>
      </c>
      <c r="K6" s="6"/>
      <c r="L6" s="6"/>
    </row>
    <row r="7" spans="1:12" ht="15.75" customHeight="1" x14ac:dyDescent="0.2">
      <c r="A7" s="6"/>
      <c r="B7" s="6"/>
      <c r="C7" s="65" t="s">
        <v>51</v>
      </c>
      <c r="D7" s="6"/>
      <c r="E7" s="25" t="s">
        <v>29</v>
      </c>
      <c r="F7" s="37">
        <f>'Свойства воды'!F4</f>
        <v>1.0049999999999999</v>
      </c>
      <c r="G7" s="28" t="s">
        <v>30</v>
      </c>
      <c r="H7" s="6"/>
      <c r="I7" s="6"/>
      <c r="J7" s="6"/>
      <c r="K7" s="6"/>
      <c r="L7" s="6"/>
    </row>
    <row r="8" spans="1:12" ht="16.5" customHeight="1" x14ac:dyDescent="0.2">
      <c r="A8" s="6"/>
      <c r="B8" s="15" t="s">
        <v>27</v>
      </c>
      <c r="C8" s="16" t="s">
        <v>52</v>
      </c>
      <c r="D8" s="6"/>
      <c r="E8" s="25" t="s">
        <v>5</v>
      </c>
      <c r="F8" s="37">
        <f>'Свойства воды'!D4</f>
        <v>999.8</v>
      </c>
      <c r="G8" s="28" t="s">
        <v>34</v>
      </c>
      <c r="H8" s="6"/>
      <c r="I8" s="6"/>
      <c r="J8" s="6"/>
      <c r="K8" s="6"/>
      <c r="L8" s="6"/>
    </row>
    <row r="9" spans="1:12" ht="15" customHeight="1" thickBot="1" x14ac:dyDescent="0.25">
      <c r="A9" s="6"/>
      <c r="B9" s="6"/>
      <c r="C9" s="6"/>
      <c r="D9" s="6"/>
      <c r="E9" s="26" t="s">
        <v>32</v>
      </c>
      <c r="F9" s="38">
        <f>'Свойства воды'!G4</f>
        <v>0.48</v>
      </c>
      <c r="G9" s="29" t="s">
        <v>53</v>
      </c>
      <c r="H9" s="6"/>
      <c r="I9" s="6"/>
      <c r="J9" s="6"/>
      <c r="K9" s="6"/>
      <c r="L9" s="6"/>
    </row>
    <row r="10" spans="1:12" ht="14.25" thickTop="1" thickBot="1" x14ac:dyDescent="0.25">
      <c r="A10" s="6"/>
      <c r="B10" s="6"/>
      <c r="C10" s="6"/>
      <c r="D10" s="6"/>
      <c r="H10" s="6"/>
      <c r="I10" s="6"/>
      <c r="J10" s="6"/>
      <c r="K10" s="6"/>
      <c r="L10" s="6"/>
    </row>
    <row r="11" spans="1:12" ht="16.5" thickTop="1" x14ac:dyDescent="0.25">
      <c r="A11" s="6"/>
      <c r="B11" s="15" t="s">
        <v>35</v>
      </c>
      <c r="C11" s="16" t="s">
        <v>36</v>
      </c>
      <c r="D11" s="9"/>
      <c r="E11" s="30" t="s">
        <v>37</v>
      </c>
      <c r="F11" s="36">
        <v>1</v>
      </c>
      <c r="G11" s="33" t="s">
        <v>33</v>
      </c>
      <c r="H11" s="6"/>
      <c r="I11" s="14" t="s">
        <v>39</v>
      </c>
      <c r="J11" s="41">
        <f>IF(ISNUMBER(F13),F11*F12/F13," ")</f>
        <v>9.6774193548387094E-2</v>
      </c>
      <c r="K11" s="6"/>
      <c r="L11" s="6"/>
    </row>
    <row r="12" spans="1:12" ht="15.75" customHeight="1" x14ac:dyDescent="0.2">
      <c r="A12" s="6"/>
      <c r="B12" s="6"/>
      <c r="C12" s="6"/>
      <c r="D12" s="6"/>
      <c r="E12" s="31" t="s">
        <v>26</v>
      </c>
      <c r="F12" s="37">
        <v>3</v>
      </c>
      <c r="G12" s="34" t="s">
        <v>23</v>
      </c>
      <c r="H12" s="6"/>
      <c r="I12" s="6"/>
      <c r="J12" s="6"/>
      <c r="K12" s="6"/>
      <c r="L12" s="6"/>
    </row>
    <row r="13" spans="1:12" ht="15.75" customHeight="1" thickBot="1" x14ac:dyDescent="0.25">
      <c r="A13" s="6"/>
      <c r="B13" s="6"/>
      <c r="C13" s="6"/>
      <c r="D13" s="6"/>
      <c r="E13" s="32" t="s">
        <v>32</v>
      </c>
      <c r="F13" s="38">
        <v>31</v>
      </c>
      <c r="G13" s="35" t="s">
        <v>38</v>
      </c>
      <c r="H13" s="6"/>
      <c r="I13" s="6"/>
      <c r="J13" s="6"/>
      <c r="K13" s="6"/>
      <c r="L13" s="6"/>
    </row>
    <row r="14" spans="1:12" ht="13.5" thickTop="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x14ac:dyDescent="0.2">
      <c r="A24" s="6"/>
      <c r="C24" s="6"/>
      <c r="D24" s="6"/>
      <c r="E24" s="6"/>
      <c r="F24" s="6"/>
      <c r="G24" s="6"/>
      <c r="H24" s="6"/>
      <c r="I24" s="6"/>
      <c r="J24" s="6"/>
      <c r="K24" s="6"/>
      <c r="L24" s="6"/>
    </row>
  </sheetData>
  <sheetProtection password="C855" sheet="1" objects="1" scenarios="1"/>
  <phoneticPr fontId="0" type="noConversion"/>
  <pageMargins left="0.75" right="0.75" top="1" bottom="1" header="0.5" footer="0.5"/>
  <headerFooter alignWithMargins="0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showGridLines="0" zoomScale="190" zoomScaleNormal="190" workbookViewId="0">
      <selection activeCell="J11" sqref="J11"/>
    </sheetView>
  </sheetViews>
  <sheetFormatPr defaultRowHeight="12.75" x14ac:dyDescent="0.2"/>
  <cols>
    <col min="2" max="2" width="5.42578125" customWidth="1"/>
  </cols>
  <sheetData>
    <row r="1" spans="1:13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3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25.5" customHeight="1" x14ac:dyDescent="0.2">
      <c r="A3" s="6"/>
      <c r="B3" s="485" t="s">
        <v>265</v>
      </c>
      <c r="C3" s="487" t="s">
        <v>266</v>
      </c>
      <c r="D3" s="488"/>
      <c r="E3" s="208" t="s">
        <v>273</v>
      </c>
      <c r="F3" s="1" t="s">
        <v>269</v>
      </c>
      <c r="G3" s="1" t="s">
        <v>271</v>
      </c>
      <c r="H3" s="1" t="s">
        <v>272</v>
      </c>
      <c r="I3" s="6"/>
      <c r="J3" s="6"/>
      <c r="K3" s="6"/>
      <c r="L3" s="6"/>
      <c r="M3" s="6"/>
    </row>
    <row r="4" spans="1:13" x14ac:dyDescent="0.2">
      <c r="A4" s="6"/>
      <c r="B4" s="486"/>
      <c r="C4" s="1" t="s">
        <v>267</v>
      </c>
      <c r="D4" s="1" t="s">
        <v>268</v>
      </c>
      <c r="E4" s="1" t="s">
        <v>274</v>
      </c>
      <c r="F4" s="1" t="s">
        <v>270</v>
      </c>
      <c r="G4" s="1" t="s">
        <v>270</v>
      </c>
      <c r="H4" s="1" t="s">
        <v>270</v>
      </c>
      <c r="I4" s="6"/>
      <c r="J4" s="6"/>
      <c r="K4" s="6"/>
      <c r="L4" s="6"/>
      <c r="M4" s="6"/>
    </row>
    <row r="5" spans="1:13" x14ac:dyDescent="0.2">
      <c r="A5" s="6"/>
      <c r="B5" s="1">
        <f>IF(ISNUMBER(C5),1," ")</f>
        <v>1</v>
      </c>
      <c r="C5" s="207">
        <v>1</v>
      </c>
      <c r="D5" s="209">
        <f>IF(ISNUMBER(C5),C5/1.16*1000," ")</f>
        <v>862.06896551724139</v>
      </c>
      <c r="E5" s="207">
        <v>55</v>
      </c>
      <c r="F5" s="209">
        <f>IF(ISNUMBER($E5),D5/E5/'Теплоемкость газов'!$J$31," ")</f>
        <v>50.561229649105073</v>
      </c>
      <c r="G5" s="207">
        <v>-27</v>
      </c>
      <c r="H5" s="209">
        <f>IF(ISNUMBER($E5),G5+F5," ")</f>
        <v>23.561229649105073</v>
      </c>
      <c r="I5" s="6"/>
      <c r="J5" s="6"/>
      <c r="K5" s="6"/>
      <c r="L5" s="6"/>
      <c r="M5" s="6"/>
    </row>
    <row r="6" spans="1:13" x14ac:dyDescent="0.2">
      <c r="A6" s="6"/>
      <c r="B6" s="1" t="str">
        <f>IF(ISNUMBER(C6),1+B5," ")</f>
        <v xml:space="preserve"> </v>
      </c>
      <c r="C6" s="207"/>
      <c r="D6" s="209" t="str">
        <f t="shared" ref="D6:D16" si="0">IF(ISNUMBER(C6),C6/1.16*1000," ")</f>
        <v xml:space="preserve"> </v>
      </c>
      <c r="E6" s="207"/>
      <c r="F6" s="209" t="str">
        <f>IF(ISNUMBER($E6),D6/E6/'Теплоемкость газов'!$J$31," ")</f>
        <v xml:space="preserve"> </v>
      </c>
      <c r="G6" s="207"/>
      <c r="H6" s="209" t="str">
        <f t="shared" ref="H6:H16" si="1">IF(ISNUMBER($E6),G6+F6," ")</f>
        <v xml:space="preserve"> </v>
      </c>
      <c r="I6" s="6"/>
      <c r="J6" s="6"/>
      <c r="K6" s="6"/>
      <c r="L6" s="6"/>
      <c r="M6" s="6"/>
    </row>
    <row r="7" spans="1:13" x14ac:dyDescent="0.2">
      <c r="A7" s="6"/>
      <c r="B7" s="1" t="str">
        <f t="shared" ref="B7:B16" si="2">IF(ISNUMBER(C7),1+B6," ")</f>
        <v xml:space="preserve"> </v>
      </c>
      <c r="C7" s="207"/>
      <c r="D7" s="209" t="str">
        <f t="shared" si="0"/>
        <v xml:space="preserve"> </v>
      </c>
      <c r="E7" s="207"/>
      <c r="F7" s="209" t="str">
        <f>IF(ISNUMBER($E7),D7/E7/'Теплоемкость газов'!$J$31," ")</f>
        <v xml:space="preserve"> </v>
      </c>
      <c r="G7" s="207"/>
      <c r="H7" s="209" t="str">
        <f t="shared" si="1"/>
        <v xml:space="preserve"> </v>
      </c>
      <c r="I7" s="6"/>
      <c r="J7" s="6"/>
      <c r="K7" s="6"/>
      <c r="L7" s="6"/>
      <c r="M7" s="6"/>
    </row>
    <row r="8" spans="1:13" x14ac:dyDescent="0.2">
      <c r="A8" s="6"/>
      <c r="B8" s="1" t="str">
        <f t="shared" si="2"/>
        <v xml:space="preserve"> </v>
      </c>
      <c r="C8" s="207"/>
      <c r="D8" s="209" t="str">
        <f t="shared" si="0"/>
        <v xml:space="preserve"> </v>
      </c>
      <c r="E8" s="207"/>
      <c r="F8" s="209" t="str">
        <f>IF(ISNUMBER($E8),D8/E8/'Теплоемкость газов'!$J$31," ")</f>
        <v xml:space="preserve"> </v>
      </c>
      <c r="G8" s="207"/>
      <c r="H8" s="209" t="str">
        <f t="shared" si="1"/>
        <v xml:space="preserve"> </v>
      </c>
      <c r="I8" s="6"/>
      <c r="J8" s="6"/>
      <c r="K8" s="6"/>
      <c r="L8" s="6"/>
      <c r="M8" s="6"/>
    </row>
    <row r="9" spans="1:13" x14ac:dyDescent="0.2">
      <c r="A9" s="6"/>
      <c r="B9" s="1" t="str">
        <f t="shared" si="2"/>
        <v xml:space="preserve"> </v>
      </c>
      <c r="C9" s="207"/>
      <c r="D9" s="209" t="str">
        <f t="shared" si="0"/>
        <v xml:space="preserve"> </v>
      </c>
      <c r="E9" s="207"/>
      <c r="F9" s="209" t="str">
        <f>IF(ISNUMBER($E9),D9/E9/'Теплоемкость газов'!$J$31," ")</f>
        <v xml:space="preserve"> </v>
      </c>
      <c r="G9" s="207"/>
      <c r="H9" s="209" t="str">
        <f t="shared" si="1"/>
        <v xml:space="preserve"> </v>
      </c>
      <c r="I9" s="6"/>
      <c r="J9" s="6"/>
      <c r="K9" s="6"/>
      <c r="L9" s="6"/>
      <c r="M9" s="6"/>
    </row>
    <row r="10" spans="1:13" x14ac:dyDescent="0.2">
      <c r="A10" s="6"/>
      <c r="B10" s="1" t="str">
        <f t="shared" si="2"/>
        <v xml:space="preserve"> </v>
      </c>
      <c r="C10" s="207"/>
      <c r="D10" s="209" t="str">
        <f t="shared" si="0"/>
        <v xml:space="preserve"> </v>
      </c>
      <c r="E10" s="207"/>
      <c r="F10" s="209" t="str">
        <f>IF(ISNUMBER($E10),D10/E10/'Теплоемкость газов'!$J$31," ")</f>
        <v xml:space="preserve"> </v>
      </c>
      <c r="G10" s="207"/>
      <c r="H10" s="209" t="str">
        <f t="shared" si="1"/>
        <v xml:space="preserve"> </v>
      </c>
      <c r="I10" s="6"/>
      <c r="J10" s="6"/>
      <c r="K10" s="6"/>
      <c r="L10" s="6"/>
      <c r="M10" s="6"/>
    </row>
    <row r="11" spans="1:13" x14ac:dyDescent="0.2">
      <c r="A11" s="6"/>
      <c r="B11" s="1" t="str">
        <f t="shared" si="2"/>
        <v xml:space="preserve"> </v>
      </c>
      <c r="C11" s="207"/>
      <c r="D11" s="209" t="str">
        <f t="shared" si="0"/>
        <v xml:space="preserve"> </v>
      </c>
      <c r="E11" s="207"/>
      <c r="F11" s="209" t="str">
        <f>IF(ISNUMBER($E11),D11/E11/'Теплоемкость газов'!$J$31," ")</f>
        <v xml:space="preserve"> </v>
      </c>
      <c r="G11" s="207"/>
      <c r="H11" s="209" t="str">
        <f t="shared" si="1"/>
        <v xml:space="preserve"> </v>
      </c>
      <c r="I11" s="6"/>
      <c r="J11" s="6"/>
      <c r="K11" s="6"/>
      <c r="L11" s="6"/>
      <c r="M11" s="6"/>
    </row>
    <row r="12" spans="1:13" x14ac:dyDescent="0.2">
      <c r="A12" s="6"/>
      <c r="B12" s="1" t="str">
        <f t="shared" si="2"/>
        <v xml:space="preserve"> </v>
      </c>
      <c r="C12" s="207"/>
      <c r="D12" s="209" t="str">
        <f t="shared" si="0"/>
        <v xml:space="preserve"> </v>
      </c>
      <c r="E12" s="207"/>
      <c r="F12" s="209" t="str">
        <f>IF(ISNUMBER($E12),D12/E12/'Теплоемкость газов'!$J$31," ")</f>
        <v xml:space="preserve"> </v>
      </c>
      <c r="G12" s="207"/>
      <c r="H12" s="209" t="str">
        <f t="shared" si="1"/>
        <v xml:space="preserve"> </v>
      </c>
      <c r="I12" s="6"/>
      <c r="J12" s="6"/>
      <c r="K12" s="6"/>
      <c r="L12" s="6"/>
      <c r="M12" s="6"/>
    </row>
    <row r="13" spans="1:13" x14ac:dyDescent="0.2">
      <c r="A13" s="6"/>
      <c r="B13" s="1" t="str">
        <f t="shared" si="2"/>
        <v xml:space="preserve"> </v>
      </c>
      <c r="C13" s="207"/>
      <c r="D13" s="209" t="str">
        <f t="shared" si="0"/>
        <v xml:space="preserve"> </v>
      </c>
      <c r="E13" s="207"/>
      <c r="F13" s="209" t="str">
        <f>IF(ISNUMBER($E13),D13/E13/'Теплоемкость газов'!$J$31," ")</f>
        <v xml:space="preserve"> </v>
      </c>
      <c r="G13" s="207"/>
      <c r="H13" s="209" t="str">
        <f t="shared" si="1"/>
        <v xml:space="preserve"> </v>
      </c>
      <c r="I13" s="6"/>
      <c r="J13" s="6"/>
      <c r="K13" s="6"/>
      <c r="L13" s="6"/>
      <c r="M13" s="6"/>
    </row>
    <row r="14" spans="1:13" x14ac:dyDescent="0.2">
      <c r="A14" s="6"/>
      <c r="B14" s="1" t="str">
        <f t="shared" si="2"/>
        <v xml:space="preserve"> </v>
      </c>
      <c r="C14" s="207"/>
      <c r="D14" s="209" t="str">
        <f t="shared" si="0"/>
        <v xml:space="preserve"> </v>
      </c>
      <c r="E14" s="207"/>
      <c r="F14" s="209" t="str">
        <f>IF(ISNUMBER($E14),D14/E14/'Теплоемкость газов'!$J$31," ")</f>
        <v xml:space="preserve"> </v>
      </c>
      <c r="G14" s="207"/>
      <c r="H14" s="209" t="str">
        <f t="shared" si="1"/>
        <v xml:space="preserve"> </v>
      </c>
      <c r="I14" s="6"/>
      <c r="J14" s="6"/>
      <c r="K14" s="6"/>
      <c r="L14" s="6"/>
      <c r="M14" s="6"/>
    </row>
    <row r="15" spans="1:13" x14ac:dyDescent="0.2">
      <c r="A15" s="6"/>
      <c r="B15" s="1" t="str">
        <f t="shared" si="2"/>
        <v xml:space="preserve"> </v>
      </c>
      <c r="C15" s="207"/>
      <c r="D15" s="209" t="str">
        <f t="shared" si="0"/>
        <v xml:space="preserve"> </v>
      </c>
      <c r="E15" s="207"/>
      <c r="F15" s="209" t="str">
        <f>IF(ISNUMBER($E15),D15/E15/'Теплоемкость газов'!$J$31," ")</f>
        <v xml:space="preserve"> </v>
      </c>
      <c r="G15" s="207"/>
      <c r="H15" s="209" t="str">
        <f t="shared" si="1"/>
        <v xml:space="preserve"> </v>
      </c>
      <c r="I15" s="6"/>
      <c r="J15" s="6"/>
      <c r="K15" s="6"/>
      <c r="L15" s="6"/>
      <c r="M15" s="6"/>
    </row>
    <row r="16" spans="1:13" x14ac:dyDescent="0.2">
      <c r="A16" s="6"/>
      <c r="B16" s="1" t="str">
        <f t="shared" si="2"/>
        <v xml:space="preserve"> </v>
      </c>
      <c r="C16" s="207"/>
      <c r="D16" s="209" t="str">
        <f t="shared" si="0"/>
        <v xml:space="preserve"> </v>
      </c>
      <c r="E16" s="207"/>
      <c r="F16" s="209" t="str">
        <f>IF(ISNUMBER($E16),D16/E16/'Теплоемкость газов'!$J$31," ")</f>
        <v xml:space="preserve"> </v>
      </c>
      <c r="G16" s="207"/>
      <c r="H16" s="209" t="str">
        <f t="shared" si="1"/>
        <v xml:space="preserve"> </v>
      </c>
      <c r="I16" s="6"/>
      <c r="J16" s="6"/>
      <c r="K16" s="6"/>
      <c r="L16" s="6"/>
      <c r="M16" s="6"/>
    </row>
    <row r="17" spans="1:13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</row>
    <row r="20" spans="1:13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</row>
    <row r="21" spans="1:13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</sheetData>
  <sheetProtection password="C651" sheet="1" objects="1" scenarios="1"/>
  <mergeCells count="2">
    <mergeCell ref="B3:B4"/>
    <mergeCell ref="C3:D3"/>
  </mergeCells>
  <phoneticPr fontId="0" type="noConversion"/>
  <pageMargins left="0.75" right="0.75" top="1" bottom="1" header="0.5" footer="0.5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4"/>
  <sheetViews>
    <sheetView workbookViewId="0"/>
  </sheetViews>
  <sheetFormatPr defaultRowHeight="12.75" x14ac:dyDescent="0.2"/>
  <sheetData>
    <row r="1" spans="1:12" ht="42" customHeight="1" thickBot="1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</row>
    <row r="2" spans="1:12" x14ac:dyDescent="0.2">
      <c r="A2" s="6"/>
      <c r="B2" s="495" t="s">
        <v>59</v>
      </c>
      <c r="C2" s="496"/>
      <c r="D2" s="496"/>
      <c r="E2" s="496"/>
      <c r="F2" s="496"/>
      <c r="G2" s="496"/>
      <c r="H2" s="496"/>
      <c r="I2" s="496"/>
      <c r="J2" s="496"/>
      <c r="K2" s="497"/>
      <c r="L2" s="6"/>
    </row>
    <row r="3" spans="1:12" x14ac:dyDescent="0.2">
      <c r="A3" s="6"/>
      <c r="B3" s="498"/>
      <c r="C3" s="499"/>
      <c r="D3" s="499"/>
      <c r="E3" s="499"/>
      <c r="F3" s="499"/>
      <c r="G3" s="499"/>
      <c r="H3" s="499"/>
      <c r="I3" s="499"/>
      <c r="J3" s="499"/>
      <c r="K3" s="500"/>
      <c r="L3" s="6"/>
    </row>
    <row r="4" spans="1:12" x14ac:dyDescent="0.2">
      <c r="A4" s="6"/>
      <c r="B4" s="498"/>
      <c r="C4" s="499"/>
      <c r="D4" s="499"/>
      <c r="E4" s="499"/>
      <c r="F4" s="499"/>
      <c r="G4" s="499"/>
      <c r="H4" s="499"/>
      <c r="I4" s="499"/>
      <c r="J4" s="499"/>
      <c r="K4" s="500"/>
      <c r="L4" s="6"/>
    </row>
    <row r="5" spans="1:12" x14ac:dyDescent="0.2">
      <c r="A5" s="6"/>
      <c r="B5" s="498"/>
      <c r="C5" s="499"/>
      <c r="D5" s="499"/>
      <c r="E5" s="499"/>
      <c r="F5" s="499"/>
      <c r="G5" s="499"/>
      <c r="H5" s="499"/>
      <c r="I5" s="499"/>
      <c r="J5" s="499"/>
      <c r="K5" s="500"/>
      <c r="L5" s="6"/>
    </row>
    <row r="6" spans="1:12" x14ac:dyDescent="0.2">
      <c r="A6" s="6"/>
      <c r="B6" s="501" t="s">
        <v>55</v>
      </c>
      <c r="C6" s="502"/>
      <c r="D6" s="502"/>
      <c r="E6" s="502"/>
      <c r="F6" s="502"/>
      <c r="G6" s="502"/>
      <c r="H6" s="502"/>
      <c r="I6" s="502"/>
      <c r="J6" s="502"/>
      <c r="K6" s="503"/>
      <c r="L6" s="6"/>
    </row>
    <row r="7" spans="1:12" x14ac:dyDescent="0.2">
      <c r="A7" s="6"/>
      <c r="B7" s="501"/>
      <c r="C7" s="502"/>
      <c r="D7" s="502"/>
      <c r="E7" s="502"/>
      <c r="F7" s="502"/>
      <c r="G7" s="502"/>
      <c r="H7" s="502"/>
      <c r="I7" s="502"/>
      <c r="J7" s="502"/>
      <c r="K7" s="503"/>
      <c r="L7" s="6"/>
    </row>
    <row r="8" spans="1:12" x14ac:dyDescent="0.2">
      <c r="A8" s="6"/>
      <c r="B8" s="501" t="s">
        <v>56</v>
      </c>
      <c r="C8" s="502"/>
      <c r="D8" s="502"/>
      <c r="E8" s="502"/>
      <c r="F8" s="502"/>
      <c r="G8" s="502"/>
      <c r="H8" s="502"/>
      <c r="I8" s="502"/>
      <c r="J8" s="502"/>
      <c r="K8" s="503"/>
      <c r="L8" s="6"/>
    </row>
    <row r="9" spans="1:12" x14ac:dyDescent="0.2">
      <c r="A9" s="6"/>
      <c r="B9" s="501"/>
      <c r="C9" s="502"/>
      <c r="D9" s="502"/>
      <c r="E9" s="502"/>
      <c r="F9" s="502"/>
      <c r="G9" s="502"/>
      <c r="H9" s="502"/>
      <c r="I9" s="502"/>
      <c r="J9" s="502"/>
      <c r="K9" s="503"/>
      <c r="L9" s="6"/>
    </row>
    <row r="10" spans="1:12" x14ac:dyDescent="0.2">
      <c r="A10" s="6"/>
      <c r="B10" s="501" t="s">
        <v>57</v>
      </c>
      <c r="C10" s="502"/>
      <c r="D10" s="502"/>
      <c r="E10" s="502"/>
      <c r="F10" s="502"/>
      <c r="G10" s="502"/>
      <c r="H10" s="502"/>
      <c r="I10" s="502"/>
      <c r="J10" s="502"/>
      <c r="K10" s="503"/>
      <c r="L10" s="6"/>
    </row>
    <row r="11" spans="1:12" x14ac:dyDescent="0.2">
      <c r="A11" s="6"/>
      <c r="B11" s="501"/>
      <c r="C11" s="502"/>
      <c r="D11" s="502"/>
      <c r="E11" s="502"/>
      <c r="F11" s="502"/>
      <c r="G11" s="502"/>
      <c r="H11" s="502"/>
      <c r="I11" s="502"/>
      <c r="J11" s="502"/>
      <c r="K11" s="503"/>
      <c r="L11" s="6"/>
    </row>
    <row r="12" spans="1:12" x14ac:dyDescent="0.2">
      <c r="A12" s="6"/>
      <c r="B12" s="489" t="s">
        <v>58</v>
      </c>
      <c r="C12" s="490"/>
      <c r="D12" s="490"/>
      <c r="E12" s="490"/>
      <c r="F12" s="490"/>
      <c r="G12" s="490"/>
      <c r="H12" s="490"/>
      <c r="I12" s="490"/>
      <c r="J12" s="490"/>
      <c r="K12" s="491"/>
      <c r="L12" s="6"/>
    </row>
    <row r="13" spans="1:12" ht="28.5" customHeight="1" thickBot="1" x14ac:dyDescent="0.25">
      <c r="A13" s="6"/>
      <c r="B13" s="492"/>
      <c r="C13" s="493"/>
      <c r="D13" s="493"/>
      <c r="E13" s="493"/>
      <c r="F13" s="493"/>
      <c r="G13" s="493"/>
      <c r="H13" s="493"/>
      <c r="I13" s="493"/>
      <c r="J13" s="493"/>
      <c r="K13" s="494"/>
      <c r="L13" s="6"/>
    </row>
    <row r="14" spans="1:12" hidden="1" x14ac:dyDescent="0.2">
      <c r="A14" s="6"/>
      <c r="B14" s="66"/>
      <c r="C14" s="66"/>
      <c r="D14" s="66"/>
      <c r="E14" s="66"/>
      <c r="F14" s="66"/>
      <c r="G14" s="66"/>
      <c r="H14" s="66"/>
      <c r="I14" s="66"/>
      <c r="J14" s="66"/>
      <c r="K14" s="67"/>
      <c r="L14" s="6"/>
    </row>
    <row r="15" spans="1:12" hidden="1" x14ac:dyDescent="0.2">
      <c r="A15" s="6"/>
      <c r="B15" s="66"/>
      <c r="C15" s="66"/>
      <c r="D15" s="66"/>
      <c r="E15" s="66"/>
      <c r="F15" s="66"/>
      <c r="G15" s="66"/>
      <c r="H15" s="66"/>
      <c r="I15" s="66"/>
      <c r="J15" s="66"/>
      <c r="K15" s="67"/>
      <c r="L15" s="6"/>
    </row>
    <row r="16" spans="1:12" hidden="1" x14ac:dyDescent="0.2">
      <c r="A16" s="6"/>
      <c r="B16" s="66"/>
      <c r="C16" s="66"/>
      <c r="D16" s="66"/>
      <c r="E16" s="66"/>
      <c r="F16" s="66"/>
      <c r="G16" s="66"/>
      <c r="H16" s="66"/>
      <c r="I16" s="66"/>
      <c r="J16" s="66"/>
      <c r="K16" s="67"/>
      <c r="L16" s="6"/>
    </row>
    <row r="17" spans="1:12" hidden="1" x14ac:dyDescent="0.2">
      <c r="A17" s="6"/>
      <c r="B17" s="68"/>
      <c r="C17" s="68"/>
      <c r="D17" s="68"/>
      <c r="E17" s="68"/>
      <c r="F17" s="68"/>
      <c r="G17" s="68"/>
      <c r="H17" s="68"/>
      <c r="I17" s="68"/>
      <c r="J17" s="68"/>
      <c r="K17" s="69"/>
      <c r="L17" s="6"/>
    </row>
    <row r="18" spans="1:12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1:12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</row>
  </sheetData>
  <sheetProtection password="C855" sheet="1" objects="1" scenarios="1"/>
  <mergeCells count="5">
    <mergeCell ref="B12:K13"/>
    <mergeCell ref="B2:K5"/>
    <mergeCell ref="B6:K7"/>
    <mergeCell ref="B8:K9"/>
    <mergeCell ref="B10:K11"/>
  </mergeCells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23</vt:i4>
      </vt:variant>
    </vt:vector>
  </HeadingPairs>
  <TitlesOfParts>
    <vt:vector size="23" baseType="lpstr">
      <vt:lpstr>Теплоемкость газов</vt:lpstr>
      <vt:lpstr>Плотность веществ</vt:lpstr>
      <vt:lpstr>Плотность воды</vt:lpstr>
      <vt:lpstr>Плотность воздуха</vt:lpstr>
      <vt:lpstr>Плотность газов</vt:lpstr>
      <vt:lpstr>Свойства воды</vt:lpstr>
      <vt:lpstr>Насыщ. пар</vt:lpstr>
      <vt:lpstr>Теплоемкость в-в</vt:lpstr>
      <vt:lpstr>Стройматериалы </vt:lpstr>
      <vt:lpstr>Горючие газы</vt:lpstr>
      <vt:lpstr>Топливо</vt:lpstr>
      <vt:lpstr>Вязкость</vt:lpstr>
      <vt:lpstr>Плавление</vt:lpstr>
      <vt:lpstr>Теплоизоляция</vt:lpstr>
      <vt:lpstr>ППУ</vt:lpstr>
      <vt:lpstr>СП23-101-2000</vt:lpstr>
      <vt:lpstr>ТЕПЛОПЕРЕДАЧА 1</vt:lpstr>
      <vt:lpstr>ТЕПЛОПЕРЕДАЧА 2 </vt:lpstr>
      <vt:lpstr>ТЕПЛОПЕРЕДАЧА 3</vt:lpstr>
      <vt:lpstr>ТЕПЛОПОТЕРИ </vt:lpstr>
      <vt:lpstr>Критерии</vt:lpstr>
      <vt:lpstr>нагр возд</vt:lpstr>
      <vt:lpstr>ТЛФ.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2001-08-15T16:10:06Z</cp:lastPrinted>
  <dcterms:created xsi:type="dcterms:W3CDTF">1999-10-27T12:12:16Z</dcterms:created>
  <dcterms:modified xsi:type="dcterms:W3CDTF">2015-01-29T15:58:45Z</dcterms:modified>
</cp:coreProperties>
</file>